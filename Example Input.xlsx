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tesser/"/>
    </mc:Choice>
  </mc:AlternateContent>
  <xr:revisionPtr revIDLastSave="0" documentId="13_ncr:1_{5C01A11D-AB0F-2144-B245-90141545A2A8}" xr6:coauthVersionLast="47" xr6:coauthVersionMax="47" xr10:uidLastSave="{00000000-0000-0000-0000-000000000000}"/>
  <bookViews>
    <workbookView xWindow="1220" yWindow="660" windowWidth="28180" windowHeight="18460" xr2:uid="{D5774416-A326-D049-B201-9C8415F11D8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4" i="2" l="1"/>
  <c r="AM13" i="2"/>
  <c r="AM12" i="2"/>
  <c r="AM11" i="2"/>
  <c r="AM10" i="2"/>
  <c r="AM9" i="2"/>
  <c r="AM8" i="2"/>
  <c r="AM7" i="2"/>
  <c r="AM6" i="2"/>
  <c r="AM5" i="2"/>
  <c r="AM4" i="2"/>
  <c r="AM3" i="2"/>
  <c r="AM2" i="2"/>
  <c r="AN6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BG2" i="2"/>
  <c r="BH2" i="2"/>
  <c r="BI2" i="2"/>
  <c r="BJ2" i="2"/>
  <c r="BK2" i="2"/>
  <c r="BL2" i="2"/>
  <c r="BM2" i="2"/>
  <c r="BN2" i="2"/>
  <c r="BO2" i="2"/>
  <c r="BP2" i="2"/>
  <c r="BQ2" i="2"/>
  <c r="BR2" i="2"/>
  <c r="BS2" i="2"/>
  <c r="BT2" i="2"/>
  <c r="BU2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</calcChain>
</file>

<file path=xl/sharedStrings.xml><?xml version="1.0" encoding="utf-8"?>
<sst xmlns="http://schemas.openxmlformats.org/spreadsheetml/2006/main" count="130" uniqueCount="54">
  <si>
    <t>NIST610_1</t>
  </si>
  <si>
    <t>NIST610_6</t>
  </si>
  <si>
    <t>NIST610_5</t>
  </si>
  <si>
    <t>NIST610_4</t>
  </si>
  <si>
    <t>NIST610_2</t>
  </si>
  <si>
    <t>NIST610_3</t>
  </si>
  <si>
    <t>91500_1</t>
  </si>
  <si>
    <t>91500_6</t>
  </si>
  <si>
    <t>91500_5</t>
  </si>
  <si>
    <t>91500_4</t>
  </si>
  <si>
    <t>91500_3</t>
  </si>
  <si>
    <t>4_8</t>
  </si>
  <si>
    <t>4_7</t>
  </si>
  <si>
    <t>4_6</t>
  </si>
  <si>
    <t>4_5</t>
  </si>
  <si>
    <t>4_1</t>
  </si>
  <si>
    <t>4_2</t>
  </si>
  <si>
    <t>4_3</t>
  </si>
  <si>
    <t>4_4</t>
  </si>
  <si>
    <t>27_1</t>
  </si>
  <si>
    <t>27_2</t>
  </si>
  <si>
    <t>27_3</t>
  </si>
  <si>
    <t>27_4</t>
  </si>
  <si>
    <t>27_5</t>
  </si>
  <si>
    <t>27_6</t>
  </si>
  <si>
    <t>27_7</t>
  </si>
  <si>
    <t>27_8</t>
  </si>
  <si>
    <t>5_1</t>
  </si>
  <si>
    <t>5_2</t>
  </si>
  <si>
    <t>5_3</t>
  </si>
  <si>
    <t>5_4</t>
  </si>
  <si>
    <t>5_5</t>
  </si>
  <si>
    <t>5_6</t>
  </si>
  <si>
    <t>5_8</t>
  </si>
  <si>
    <t>5_7</t>
  </si>
  <si>
    <t>Sample</t>
  </si>
  <si>
    <t>Ages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</si>
  <si>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</si>
  <si>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</si>
  <si>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</si>
  <si>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</si>
  <si>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</si>
  <si>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</si>
  <si>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</si>
  <si>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</si>
  <si>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</si>
  <si>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</si>
  <si>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</si>
  <si>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</si>
  <si>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</si>
  <si>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Y</t>
  </si>
  <si>
    <t>None</t>
  </si>
  <si>
    <t>CC</t>
  </si>
  <si>
    <t>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</si>
</sst>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5"/>
      <name val="Calibri"/>
      <family val="2"/>
    </font>
    <font>
      <sz val="12"/>
      <name val="Calibri"/>
      <family val="2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0" fillId="2" borderId="0" xfId="0" applyFill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C6F1-2235-9346-8A97-B8367FB8E6E9}">
  <dimension ref="A1:R54"/>
  <sheetViews>
    <sheetView tabSelected="1" workbookViewId="0">
      <selection activeCell="C5" sqref="C5"/>
    </sheetView>
  </sheetViews>
  <sheetFormatPr baseColWidth="10" defaultRowHeight="16" x14ac:dyDescent="0.2"/>
  <sheetData>
    <row r="1" spans="1:18" ht="20" x14ac:dyDescent="0.25">
      <c r="A1" t="s">
        <v>35</v>
      </c>
      <c r="B1" t="s">
        <v>36</v>
      </c>
      <c r="C1" t="s">
        <v>51</v>
      </c>
      <c r="D1" t="s">
        <v>51</v>
      </c>
      <c r="E1" t="s">
        <v>50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</row>
    <row r="2" spans="1:18" x14ac:dyDescent="0.2">
      <c r="A2" t="s">
        <v>53</v>
      </c>
      <c r="B2" s="6">
        <v>625</v>
      </c>
      <c r="E2" s="7">
        <v>2889.45</v>
      </c>
      <c r="F2" s="4">
        <v>118409.7</v>
      </c>
      <c r="G2" s="5">
        <v>235000</v>
      </c>
      <c r="H2">
        <v>28360.58</v>
      </c>
      <c r="I2">
        <v>109018.8</v>
      </c>
      <c r="J2">
        <v>20346.150000000001</v>
      </c>
      <c r="K2">
        <v>3650.65</v>
      </c>
      <c r="L2">
        <v>11857.65</v>
      </c>
      <c r="M2">
        <v>978.93</v>
      </c>
      <c r="N2">
        <v>2720.7</v>
      </c>
      <c r="O2">
        <v>190.23</v>
      </c>
      <c r="P2">
        <v>168.02</v>
      </c>
      <c r="Q2">
        <v>7.51</v>
      </c>
      <c r="R2">
        <v>21.63</v>
      </c>
    </row>
    <row r="3" spans="1:18" x14ac:dyDescent="0.2">
      <c r="A3" t="s">
        <v>53</v>
      </c>
      <c r="B3" s="6">
        <v>598</v>
      </c>
      <c r="E3" s="7">
        <v>2248.41</v>
      </c>
      <c r="F3" s="4">
        <v>126793.7</v>
      </c>
      <c r="G3" s="5">
        <v>235000</v>
      </c>
      <c r="H3">
        <v>26650.54</v>
      </c>
      <c r="I3">
        <v>101753.7</v>
      </c>
      <c r="J3">
        <v>18205.29</v>
      </c>
      <c r="K3">
        <v>3526.19</v>
      </c>
      <c r="L3">
        <v>9942.36</v>
      </c>
      <c r="M3">
        <v>783.12</v>
      </c>
      <c r="N3">
        <v>2057.15</v>
      </c>
      <c r="O3">
        <v>143.30000000000001</v>
      </c>
      <c r="P3">
        <v>128.62</v>
      </c>
      <c r="Q3">
        <v>6.32</v>
      </c>
      <c r="R3">
        <v>16.05</v>
      </c>
    </row>
    <row r="4" spans="1:18" x14ac:dyDescent="0.2">
      <c r="A4" t="s">
        <v>53</v>
      </c>
      <c r="B4" s="6">
        <v>604</v>
      </c>
      <c r="E4" s="7">
        <v>3274</v>
      </c>
      <c r="F4" s="4">
        <v>130853.9</v>
      </c>
      <c r="G4" s="5">
        <v>235000</v>
      </c>
      <c r="H4">
        <v>28243.53</v>
      </c>
      <c r="I4">
        <v>101843.64</v>
      </c>
      <c r="J4">
        <v>18351.68</v>
      </c>
      <c r="K4">
        <v>3484.09</v>
      </c>
      <c r="L4">
        <v>11136.35</v>
      </c>
      <c r="M4">
        <v>988.77</v>
      </c>
      <c r="N4">
        <v>2901.53</v>
      </c>
      <c r="O4">
        <v>203.66</v>
      </c>
      <c r="P4">
        <v>174.4</v>
      </c>
      <c r="Q4">
        <v>7.95</v>
      </c>
      <c r="R4">
        <v>18.329999999999998</v>
      </c>
    </row>
    <row r="5" spans="1:18" x14ac:dyDescent="0.2">
      <c r="A5" t="s">
        <v>53</v>
      </c>
      <c r="B5" s="6">
        <v>617</v>
      </c>
      <c r="E5" s="7">
        <v>4331.55</v>
      </c>
      <c r="F5" s="4">
        <v>126844.5</v>
      </c>
      <c r="G5" s="5">
        <v>235000</v>
      </c>
      <c r="H5">
        <v>27400.33</v>
      </c>
      <c r="I5">
        <v>102217.32</v>
      </c>
      <c r="J5">
        <v>17955.59</v>
      </c>
      <c r="K5">
        <v>3553.19</v>
      </c>
      <c r="L5">
        <v>11580.33</v>
      </c>
      <c r="M5">
        <v>1057.28</v>
      </c>
      <c r="N5">
        <v>3376.11</v>
      </c>
      <c r="O5">
        <v>261.32</v>
      </c>
      <c r="P5">
        <v>247.64</v>
      </c>
      <c r="Q5">
        <v>11.8</v>
      </c>
      <c r="R5">
        <v>26.86</v>
      </c>
    </row>
    <row r="6" spans="1:18" x14ac:dyDescent="0.2">
      <c r="A6" t="s">
        <v>53</v>
      </c>
      <c r="B6" s="6">
        <v>622</v>
      </c>
      <c r="E6" s="7">
        <v>3193.59</v>
      </c>
      <c r="F6" s="4">
        <v>127407.7</v>
      </c>
      <c r="G6" s="5">
        <v>235000</v>
      </c>
      <c r="H6">
        <v>27863.71</v>
      </c>
      <c r="I6">
        <v>102706.05</v>
      </c>
      <c r="J6">
        <v>18481.59</v>
      </c>
      <c r="K6">
        <v>3590.63</v>
      </c>
      <c r="L6">
        <v>11497.31</v>
      </c>
      <c r="M6">
        <v>1003.08</v>
      </c>
      <c r="N6">
        <v>2829.3</v>
      </c>
      <c r="O6">
        <v>195.11</v>
      </c>
      <c r="P6">
        <v>160.57</v>
      </c>
      <c r="Q6">
        <v>6.31</v>
      </c>
      <c r="R6">
        <v>15.26</v>
      </c>
    </row>
    <row r="7" spans="1:18" x14ac:dyDescent="0.2">
      <c r="A7" t="s">
        <v>53</v>
      </c>
      <c r="B7" s="6">
        <v>564</v>
      </c>
      <c r="E7" s="7">
        <v>1635.1</v>
      </c>
      <c r="F7" s="4">
        <v>132376.9</v>
      </c>
      <c r="G7" s="5">
        <v>235000</v>
      </c>
      <c r="H7">
        <v>27948.81</v>
      </c>
      <c r="I7">
        <v>100788.91</v>
      </c>
      <c r="J7">
        <v>15309.7</v>
      </c>
      <c r="K7">
        <v>1492.46</v>
      </c>
      <c r="L7">
        <v>7564.75</v>
      </c>
      <c r="M7">
        <v>415.56</v>
      </c>
      <c r="N7">
        <v>1001.3</v>
      </c>
      <c r="O7">
        <v>92.48</v>
      </c>
      <c r="P7">
        <v>124.1</v>
      </c>
      <c r="Q7">
        <v>8.0299999999999994</v>
      </c>
      <c r="R7">
        <v>26.11</v>
      </c>
    </row>
    <row r="8" spans="1:18" x14ac:dyDescent="0.2">
      <c r="A8" t="s">
        <v>53</v>
      </c>
      <c r="B8" s="6">
        <v>553</v>
      </c>
      <c r="E8" s="7">
        <v>1601.77</v>
      </c>
      <c r="F8" s="4">
        <v>129442.3</v>
      </c>
      <c r="G8" s="5">
        <v>235000</v>
      </c>
      <c r="H8">
        <v>28418.41</v>
      </c>
      <c r="I8">
        <v>102490.44</v>
      </c>
      <c r="J8">
        <v>17066.54</v>
      </c>
      <c r="K8">
        <v>1829.36</v>
      </c>
      <c r="L8">
        <v>7739.81</v>
      </c>
      <c r="M8">
        <v>440.19</v>
      </c>
      <c r="N8">
        <v>1080.07</v>
      </c>
      <c r="O8">
        <v>87.55</v>
      </c>
      <c r="P8">
        <v>114.6</v>
      </c>
      <c r="Q8">
        <v>6.68</v>
      </c>
      <c r="R8">
        <v>21.46</v>
      </c>
    </row>
    <row r="9" spans="1:18" x14ac:dyDescent="0.2">
      <c r="A9" t="s">
        <v>53</v>
      </c>
      <c r="B9" s="6">
        <v>622</v>
      </c>
      <c r="E9" s="7">
        <v>2095.31</v>
      </c>
      <c r="F9" s="4">
        <v>126543.2</v>
      </c>
      <c r="G9" s="5">
        <v>235000</v>
      </c>
      <c r="H9">
        <v>28358.78</v>
      </c>
      <c r="I9">
        <v>102489.15</v>
      </c>
      <c r="J9">
        <v>16465.150000000001</v>
      </c>
      <c r="K9">
        <v>1776.92</v>
      </c>
      <c r="L9">
        <v>8540.66</v>
      </c>
      <c r="M9">
        <v>517.96</v>
      </c>
      <c r="N9">
        <v>1312.81</v>
      </c>
      <c r="O9">
        <v>113.1</v>
      </c>
      <c r="P9">
        <v>143.59</v>
      </c>
      <c r="Q9">
        <v>9.19</v>
      </c>
      <c r="R9">
        <v>32.6</v>
      </c>
    </row>
    <row r="10" spans="1:18" x14ac:dyDescent="0.2">
      <c r="A10" t="s">
        <v>53</v>
      </c>
      <c r="B10" s="6">
        <v>581</v>
      </c>
      <c r="E10" s="7">
        <v>1373.12</v>
      </c>
      <c r="F10" s="4">
        <v>128232.9</v>
      </c>
      <c r="G10" s="5">
        <v>235000</v>
      </c>
      <c r="H10">
        <v>28694.35</v>
      </c>
      <c r="I10">
        <v>96192.42</v>
      </c>
      <c r="J10">
        <v>16412.900000000001</v>
      </c>
      <c r="K10">
        <v>1762.52</v>
      </c>
      <c r="L10">
        <v>7700.46</v>
      </c>
      <c r="M10">
        <v>408.83</v>
      </c>
      <c r="N10">
        <v>917.89</v>
      </c>
      <c r="O10">
        <v>74.010000000000005</v>
      </c>
      <c r="P10">
        <v>90.31</v>
      </c>
      <c r="Q10">
        <v>5.72</v>
      </c>
      <c r="R10">
        <v>18.09</v>
      </c>
    </row>
    <row r="11" spans="1:18" x14ac:dyDescent="0.2">
      <c r="A11" t="s">
        <v>53</v>
      </c>
      <c r="B11" s="6">
        <v>612</v>
      </c>
      <c r="E11" s="7">
        <v>1992.47</v>
      </c>
      <c r="F11" s="4">
        <v>134538.1</v>
      </c>
      <c r="G11" s="5">
        <v>235000</v>
      </c>
      <c r="H11">
        <v>29078.94</v>
      </c>
      <c r="I11">
        <v>104379.03</v>
      </c>
      <c r="J11">
        <v>16784.47</v>
      </c>
      <c r="K11">
        <v>1981.24</v>
      </c>
      <c r="L11">
        <v>8576.5</v>
      </c>
      <c r="M11">
        <v>514.80999999999995</v>
      </c>
      <c r="N11">
        <v>1265.82</v>
      </c>
      <c r="O11">
        <v>103.14</v>
      </c>
      <c r="P11">
        <v>125.79</v>
      </c>
      <c r="Q11">
        <v>8.06</v>
      </c>
      <c r="R11">
        <v>25.54</v>
      </c>
    </row>
    <row r="12" spans="1:18" x14ac:dyDescent="0.2">
      <c r="A12" t="s">
        <v>53</v>
      </c>
      <c r="B12" s="6">
        <v>565</v>
      </c>
      <c r="E12" s="7">
        <v>1168.1099999999999</v>
      </c>
      <c r="F12" s="4">
        <v>129526.6</v>
      </c>
      <c r="G12" s="5">
        <v>235000</v>
      </c>
      <c r="H12">
        <v>28142.49</v>
      </c>
      <c r="I12">
        <v>102769.22</v>
      </c>
      <c r="J12">
        <v>15134.44</v>
      </c>
      <c r="K12">
        <v>1710.37</v>
      </c>
      <c r="L12">
        <v>7026.16</v>
      </c>
      <c r="M12">
        <v>351.68</v>
      </c>
      <c r="N12">
        <v>790.43</v>
      </c>
      <c r="O12">
        <v>63.4</v>
      </c>
      <c r="P12">
        <v>81.96</v>
      </c>
      <c r="Q12">
        <v>5.01</v>
      </c>
      <c r="R12">
        <v>16.14</v>
      </c>
    </row>
    <row r="13" spans="1:18" x14ac:dyDescent="0.2">
      <c r="A13" t="s">
        <v>53</v>
      </c>
      <c r="B13" s="6">
        <v>592</v>
      </c>
      <c r="E13" s="7">
        <v>5247.74</v>
      </c>
      <c r="F13" s="4">
        <v>131162.4</v>
      </c>
      <c r="G13" s="5">
        <v>235000</v>
      </c>
      <c r="H13">
        <v>29998.959999999999</v>
      </c>
      <c r="I13">
        <v>108992.42</v>
      </c>
      <c r="J13">
        <v>20172.14</v>
      </c>
      <c r="K13">
        <v>1766.09</v>
      </c>
      <c r="L13">
        <v>13488.02</v>
      </c>
      <c r="M13">
        <v>1042.0899999999999</v>
      </c>
      <c r="N13">
        <v>2972.95</v>
      </c>
      <c r="O13">
        <v>256.01</v>
      </c>
      <c r="P13">
        <v>342.52</v>
      </c>
      <c r="Q13">
        <v>21.82</v>
      </c>
      <c r="R13">
        <v>73.319999999999993</v>
      </c>
    </row>
    <row r="14" spans="1:18" x14ac:dyDescent="0.2">
      <c r="A14" t="s">
        <v>53</v>
      </c>
      <c r="B14" s="6">
        <v>605</v>
      </c>
      <c r="E14" s="7">
        <v>4373.05</v>
      </c>
      <c r="F14" s="4">
        <v>136252.1</v>
      </c>
      <c r="G14" s="5">
        <v>235000</v>
      </c>
      <c r="H14">
        <v>31371.27</v>
      </c>
      <c r="I14">
        <v>114167.81</v>
      </c>
      <c r="J14">
        <v>20613.22</v>
      </c>
      <c r="K14">
        <v>1733.38</v>
      </c>
      <c r="L14">
        <v>13464.83</v>
      </c>
      <c r="M14">
        <v>1014.32</v>
      </c>
      <c r="N14">
        <v>2874.46</v>
      </c>
      <c r="O14">
        <v>241.97</v>
      </c>
      <c r="P14">
        <v>290.32</v>
      </c>
      <c r="Q14">
        <v>18.18</v>
      </c>
      <c r="R14">
        <v>57.71</v>
      </c>
    </row>
    <row r="15" spans="1:18" x14ac:dyDescent="0.2">
      <c r="A15" t="s">
        <v>53</v>
      </c>
      <c r="B15" s="6">
        <v>613</v>
      </c>
      <c r="E15" s="7">
        <v>4360.66</v>
      </c>
      <c r="F15" s="4">
        <v>128314.8</v>
      </c>
      <c r="G15" s="5">
        <v>235000</v>
      </c>
      <c r="H15">
        <v>29945.85</v>
      </c>
      <c r="I15">
        <v>106174.35</v>
      </c>
      <c r="J15">
        <v>19345.240000000002</v>
      </c>
      <c r="K15">
        <v>1709.53</v>
      </c>
      <c r="L15">
        <v>11809.03</v>
      </c>
      <c r="M15">
        <v>909.9</v>
      </c>
      <c r="N15">
        <v>2644.89</v>
      </c>
      <c r="O15">
        <v>228.75</v>
      </c>
      <c r="P15">
        <v>275.14999999999998</v>
      </c>
      <c r="Q15">
        <v>17.98</v>
      </c>
      <c r="R15">
        <v>54.41</v>
      </c>
    </row>
    <row r="16" spans="1:18" x14ac:dyDescent="0.2">
      <c r="A16" t="s">
        <v>53</v>
      </c>
      <c r="B16" s="6">
        <v>622</v>
      </c>
      <c r="E16" s="7">
        <v>4385.1000000000004</v>
      </c>
      <c r="F16" s="4">
        <v>126071.2</v>
      </c>
      <c r="G16" s="5">
        <v>235000</v>
      </c>
      <c r="H16">
        <v>28151.18</v>
      </c>
      <c r="I16">
        <v>106000.43</v>
      </c>
      <c r="J16">
        <v>17499.28</v>
      </c>
      <c r="K16">
        <v>1564.27</v>
      </c>
      <c r="L16">
        <v>11444.23</v>
      </c>
      <c r="M16">
        <v>872.14</v>
      </c>
      <c r="N16">
        <v>2607.34</v>
      </c>
      <c r="O16">
        <v>228.19</v>
      </c>
      <c r="P16">
        <v>277.73</v>
      </c>
      <c r="Q16">
        <v>16.12</v>
      </c>
      <c r="R16">
        <v>48.15</v>
      </c>
    </row>
    <row r="17" spans="1:18" x14ac:dyDescent="0.2">
      <c r="A17" t="s">
        <v>53</v>
      </c>
      <c r="B17" s="6">
        <v>655</v>
      </c>
      <c r="E17" s="7">
        <v>10379.17</v>
      </c>
      <c r="F17" s="4">
        <v>132022</v>
      </c>
      <c r="G17" s="5">
        <v>235000</v>
      </c>
      <c r="H17">
        <v>30664.080000000002</v>
      </c>
      <c r="I17">
        <v>112796.86</v>
      </c>
      <c r="J17">
        <v>23593.4</v>
      </c>
      <c r="K17">
        <v>4184.91</v>
      </c>
      <c r="L17">
        <v>18182.52</v>
      </c>
      <c r="M17">
        <v>1863.48</v>
      </c>
      <c r="N17">
        <v>6676.01</v>
      </c>
      <c r="O17">
        <v>642.9</v>
      </c>
      <c r="P17">
        <v>800.17</v>
      </c>
      <c r="Q17">
        <v>48.8</v>
      </c>
      <c r="R17">
        <v>152.03</v>
      </c>
    </row>
    <row r="18" spans="1:18" x14ac:dyDescent="0.2">
      <c r="A18" t="s">
        <v>53</v>
      </c>
      <c r="B18" s="6">
        <v>662</v>
      </c>
      <c r="E18" s="7">
        <v>14740.35</v>
      </c>
      <c r="F18" s="4">
        <v>129294.39999999999</v>
      </c>
      <c r="G18" s="5">
        <v>235000</v>
      </c>
      <c r="H18">
        <v>31496.91</v>
      </c>
      <c r="I18">
        <v>121934.52</v>
      </c>
      <c r="J18">
        <v>25669.13</v>
      </c>
      <c r="K18">
        <v>4761.18</v>
      </c>
      <c r="L18">
        <v>22154.61</v>
      </c>
      <c r="M18">
        <v>2447.3000000000002</v>
      </c>
      <c r="N18">
        <v>9017.69</v>
      </c>
      <c r="O18">
        <v>820.12</v>
      </c>
      <c r="P18">
        <v>1084.58</v>
      </c>
      <c r="Q18">
        <v>68.31</v>
      </c>
      <c r="R18">
        <v>203.71</v>
      </c>
    </row>
    <row r="19" spans="1:18" x14ac:dyDescent="0.2">
      <c r="A19" t="s">
        <v>53</v>
      </c>
      <c r="B19" s="6">
        <v>616</v>
      </c>
      <c r="E19" s="7">
        <v>3834.1</v>
      </c>
      <c r="F19" s="4">
        <v>130251</v>
      </c>
      <c r="G19" s="5">
        <v>235000</v>
      </c>
      <c r="H19">
        <v>30023.72</v>
      </c>
      <c r="I19">
        <v>113681.3</v>
      </c>
      <c r="J19">
        <v>20762.66</v>
      </c>
      <c r="K19">
        <v>2060.48</v>
      </c>
      <c r="L19">
        <v>11765.17</v>
      </c>
      <c r="M19">
        <v>813.74</v>
      </c>
      <c r="N19">
        <v>2240.71</v>
      </c>
      <c r="O19">
        <v>194.07</v>
      </c>
      <c r="P19">
        <v>254.18</v>
      </c>
      <c r="Q19">
        <v>16.59</v>
      </c>
      <c r="R19">
        <v>54.99</v>
      </c>
    </row>
    <row r="20" spans="1:18" x14ac:dyDescent="0.2">
      <c r="A20" t="s">
        <v>53</v>
      </c>
      <c r="B20" s="6">
        <v>619</v>
      </c>
      <c r="E20" s="7">
        <v>3384.31</v>
      </c>
      <c r="F20" s="4">
        <v>126559.3</v>
      </c>
      <c r="G20" s="5">
        <v>235000</v>
      </c>
      <c r="H20">
        <v>27657.47</v>
      </c>
      <c r="I20">
        <v>103984.27</v>
      </c>
      <c r="J20">
        <v>19295.990000000002</v>
      </c>
      <c r="K20">
        <v>2194.96</v>
      </c>
      <c r="L20">
        <v>10619.62</v>
      </c>
      <c r="M20">
        <v>735.72</v>
      </c>
      <c r="N20">
        <v>2081.7600000000002</v>
      </c>
      <c r="O20">
        <v>177.3</v>
      </c>
      <c r="P20">
        <v>218.13</v>
      </c>
      <c r="Q20">
        <v>14.26</v>
      </c>
      <c r="R20">
        <v>43.26</v>
      </c>
    </row>
    <row r="21" spans="1:18" x14ac:dyDescent="0.2">
      <c r="A21" t="s">
        <v>53</v>
      </c>
      <c r="B21" s="6">
        <v>668</v>
      </c>
      <c r="E21" s="7">
        <v>3838</v>
      </c>
      <c r="F21" s="4">
        <v>136847.20000000001</v>
      </c>
      <c r="G21" s="5">
        <v>235000</v>
      </c>
      <c r="H21">
        <v>27960.76</v>
      </c>
      <c r="I21">
        <v>104787.73</v>
      </c>
      <c r="J21">
        <v>17678.740000000002</v>
      </c>
      <c r="K21">
        <v>1832.35</v>
      </c>
      <c r="L21">
        <v>11174.03</v>
      </c>
      <c r="M21">
        <v>874.38</v>
      </c>
      <c r="N21">
        <v>2245.62</v>
      </c>
      <c r="O21">
        <v>203.39</v>
      </c>
      <c r="P21">
        <v>238.09</v>
      </c>
      <c r="Q21">
        <v>13.55</v>
      </c>
      <c r="R21">
        <v>47.13</v>
      </c>
    </row>
    <row r="22" spans="1:18" x14ac:dyDescent="0.2">
      <c r="A22" t="s">
        <v>53</v>
      </c>
      <c r="B22" s="6">
        <v>647</v>
      </c>
      <c r="E22" s="7">
        <v>4475.21</v>
      </c>
      <c r="F22" s="4">
        <v>129984.2</v>
      </c>
      <c r="G22" s="5">
        <v>235000</v>
      </c>
      <c r="H22">
        <v>27347.759999999998</v>
      </c>
      <c r="I22">
        <v>103938.89</v>
      </c>
      <c r="J22">
        <v>18645.02</v>
      </c>
      <c r="K22">
        <v>2238.66</v>
      </c>
      <c r="L22">
        <v>12083.77</v>
      </c>
      <c r="M22">
        <v>894.02</v>
      </c>
      <c r="N22">
        <v>2652.45</v>
      </c>
      <c r="O22">
        <v>245.3</v>
      </c>
      <c r="P22">
        <v>305.04000000000002</v>
      </c>
      <c r="Q22">
        <v>18.940000000000001</v>
      </c>
      <c r="R22">
        <v>65.2</v>
      </c>
    </row>
    <row r="23" spans="1:18" x14ac:dyDescent="0.2">
      <c r="A23" t="s">
        <v>53</v>
      </c>
      <c r="B23" s="6">
        <v>641</v>
      </c>
      <c r="E23" s="7">
        <v>3797.91</v>
      </c>
      <c r="F23" s="4">
        <v>132800.1</v>
      </c>
      <c r="G23" s="5">
        <v>235000</v>
      </c>
      <c r="H23">
        <v>31528.77</v>
      </c>
      <c r="I23">
        <v>117412.22</v>
      </c>
      <c r="J23">
        <v>22212.080000000002</v>
      </c>
      <c r="K23">
        <v>2509.48</v>
      </c>
      <c r="L23">
        <v>12931.26</v>
      </c>
      <c r="M23">
        <v>898.16</v>
      </c>
      <c r="N23">
        <v>2374.8200000000002</v>
      </c>
      <c r="O23">
        <v>198.65</v>
      </c>
      <c r="P23">
        <v>239.59</v>
      </c>
      <c r="Q23">
        <v>15.72</v>
      </c>
      <c r="R23">
        <v>55.23</v>
      </c>
    </row>
    <row r="24" spans="1:18" x14ac:dyDescent="0.2">
      <c r="A24" t="s">
        <v>53</v>
      </c>
      <c r="B24" s="6">
        <v>603</v>
      </c>
      <c r="E24" s="7">
        <v>3845.27</v>
      </c>
      <c r="F24" s="4">
        <v>135169.29999999999</v>
      </c>
      <c r="G24" s="5">
        <v>235000</v>
      </c>
      <c r="H24">
        <v>30234.9</v>
      </c>
      <c r="I24">
        <v>106295.49</v>
      </c>
      <c r="J24">
        <v>19180.349999999999</v>
      </c>
      <c r="K24">
        <v>1988.84</v>
      </c>
      <c r="L24">
        <v>10875.12</v>
      </c>
      <c r="M24">
        <v>813.97</v>
      </c>
      <c r="N24">
        <v>2293.9499999999998</v>
      </c>
      <c r="O24">
        <v>201.2</v>
      </c>
      <c r="P24">
        <v>252.74</v>
      </c>
      <c r="Q24">
        <v>15.77</v>
      </c>
      <c r="R24">
        <v>49.44</v>
      </c>
    </row>
    <row r="25" spans="1:18" x14ac:dyDescent="0.2">
      <c r="A25" t="s">
        <v>53</v>
      </c>
      <c r="B25" s="6">
        <v>593</v>
      </c>
      <c r="E25" s="7">
        <v>2895.67</v>
      </c>
      <c r="F25" s="4">
        <v>150947</v>
      </c>
      <c r="G25" s="5">
        <v>235000</v>
      </c>
      <c r="H25">
        <v>31228.36</v>
      </c>
      <c r="I25">
        <v>110763.84</v>
      </c>
      <c r="J25">
        <v>19902.18</v>
      </c>
      <c r="K25">
        <v>1894.24</v>
      </c>
      <c r="L25">
        <v>9856.59</v>
      </c>
      <c r="M25">
        <v>661.33</v>
      </c>
      <c r="N25">
        <v>1779.17</v>
      </c>
      <c r="O25">
        <v>154.62</v>
      </c>
      <c r="P25">
        <v>192.18</v>
      </c>
      <c r="Q25">
        <v>11.86</v>
      </c>
      <c r="R25">
        <v>38.049999999999997</v>
      </c>
    </row>
    <row r="26" spans="1:18" x14ac:dyDescent="0.2">
      <c r="A26" t="s">
        <v>53</v>
      </c>
      <c r="B26" s="6">
        <v>579</v>
      </c>
      <c r="E26" s="7">
        <v>4467.63</v>
      </c>
      <c r="F26" s="4">
        <v>132282.70000000001</v>
      </c>
      <c r="G26" s="5">
        <v>235000</v>
      </c>
      <c r="H26">
        <v>31479.91</v>
      </c>
      <c r="I26">
        <v>109694.39</v>
      </c>
      <c r="J26">
        <v>20064.84</v>
      </c>
      <c r="K26">
        <v>1847.2</v>
      </c>
      <c r="L26">
        <v>11247.89</v>
      </c>
      <c r="M26">
        <v>867.75</v>
      </c>
      <c r="N26">
        <v>2528.83</v>
      </c>
      <c r="O26">
        <v>228.77</v>
      </c>
      <c r="P26">
        <v>293.98</v>
      </c>
      <c r="Q26">
        <v>18.43</v>
      </c>
      <c r="R26">
        <v>60.46</v>
      </c>
    </row>
    <row r="27" spans="1:18" x14ac:dyDescent="0.2">
      <c r="A27" t="s">
        <v>53</v>
      </c>
      <c r="B27" s="6">
        <v>654</v>
      </c>
      <c r="E27" s="7">
        <v>2937.92</v>
      </c>
      <c r="F27" s="4">
        <v>133715.5</v>
      </c>
      <c r="G27" s="5">
        <v>235000</v>
      </c>
      <c r="H27">
        <v>32262.3</v>
      </c>
      <c r="I27">
        <v>113188.3</v>
      </c>
      <c r="J27">
        <v>22355.51</v>
      </c>
      <c r="K27">
        <v>1783.24</v>
      </c>
      <c r="L27">
        <v>11754.85</v>
      </c>
      <c r="M27">
        <v>785.18</v>
      </c>
      <c r="N27">
        <v>2151.04</v>
      </c>
      <c r="O27">
        <v>159.77000000000001</v>
      </c>
      <c r="P27">
        <v>186.6</v>
      </c>
      <c r="Q27">
        <v>10.82</v>
      </c>
      <c r="R27">
        <v>34.74</v>
      </c>
    </row>
    <row r="28" spans="1:18" x14ac:dyDescent="0.2">
      <c r="A28" t="s">
        <v>53</v>
      </c>
      <c r="B28" s="6">
        <v>653</v>
      </c>
      <c r="E28" s="7">
        <v>3904.51</v>
      </c>
      <c r="F28" s="4">
        <v>129814.39999999999</v>
      </c>
      <c r="G28" s="5">
        <v>235000</v>
      </c>
      <c r="H28">
        <v>29893.81</v>
      </c>
      <c r="I28">
        <v>104405.23</v>
      </c>
      <c r="J28">
        <v>19122.87</v>
      </c>
      <c r="K28">
        <v>1941.48</v>
      </c>
      <c r="L28">
        <v>11380.83</v>
      </c>
      <c r="M28">
        <v>841.65</v>
      </c>
      <c r="N28">
        <v>2369.0700000000002</v>
      </c>
      <c r="O28">
        <v>194.6</v>
      </c>
      <c r="P28">
        <v>228.9</v>
      </c>
      <c r="Q28">
        <v>14.7</v>
      </c>
      <c r="R28">
        <v>47.72</v>
      </c>
    </row>
    <row r="29" spans="1:18" x14ac:dyDescent="0.2">
      <c r="B29" s="6"/>
      <c r="F29" s="4"/>
      <c r="G29" s="5"/>
    </row>
    <row r="30" spans="1:18" x14ac:dyDescent="0.2">
      <c r="B30" s="6"/>
      <c r="F30" s="4"/>
      <c r="G30" s="5"/>
    </row>
    <row r="31" spans="1:18" x14ac:dyDescent="0.2">
      <c r="B31" s="6"/>
      <c r="F31" s="4"/>
      <c r="G31" s="5"/>
    </row>
    <row r="32" spans="1:18" x14ac:dyDescent="0.2">
      <c r="B32" s="6"/>
      <c r="F32" s="4"/>
      <c r="G32" s="5"/>
    </row>
    <row r="33" spans="2:7" x14ac:dyDescent="0.2">
      <c r="B33" s="6"/>
      <c r="F33" s="4"/>
      <c r="G33" s="5"/>
    </row>
    <row r="34" spans="2:7" x14ac:dyDescent="0.2">
      <c r="B34" s="6"/>
      <c r="F34" s="4"/>
      <c r="G34" s="5"/>
    </row>
    <row r="35" spans="2:7" x14ac:dyDescent="0.2">
      <c r="B35" s="6"/>
      <c r="F35" s="4"/>
      <c r="G35" s="5"/>
    </row>
    <row r="36" spans="2:7" x14ac:dyDescent="0.2">
      <c r="B36" s="6"/>
      <c r="F36" s="4"/>
      <c r="G36" s="5"/>
    </row>
    <row r="37" spans="2:7" x14ac:dyDescent="0.2">
      <c r="B37" s="6"/>
      <c r="F37" s="4"/>
      <c r="G37" s="5"/>
    </row>
    <row r="38" spans="2:7" x14ac:dyDescent="0.2">
      <c r="B38" s="6"/>
      <c r="F38" s="4"/>
      <c r="G38" s="5"/>
    </row>
    <row r="39" spans="2:7" x14ac:dyDescent="0.2">
      <c r="B39" s="6"/>
      <c r="F39" s="4"/>
      <c r="G39" s="5"/>
    </row>
    <row r="40" spans="2:7" x14ac:dyDescent="0.2">
      <c r="B40" s="6"/>
      <c r="F40" s="4"/>
      <c r="G40" s="5"/>
    </row>
    <row r="41" spans="2:7" x14ac:dyDescent="0.2">
      <c r="B41" s="6"/>
      <c r="F41" s="4"/>
      <c r="G41" s="5"/>
    </row>
    <row r="42" spans="2:7" x14ac:dyDescent="0.2">
      <c r="B42" s="6"/>
      <c r="F42" s="4"/>
      <c r="G42" s="5"/>
    </row>
    <row r="43" spans="2:7" x14ac:dyDescent="0.2">
      <c r="B43" s="6"/>
      <c r="F43" s="4"/>
      <c r="G43" s="5"/>
    </row>
    <row r="44" spans="2:7" x14ac:dyDescent="0.2">
      <c r="B44" s="6"/>
      <c r="F44" s="4"/>
      <c r="G44" s="5"/>
    </row>
    <row r="45" spans="2:7" x14ac:dyDescent="0.2">
      <c r="B45" s="6"/>
      <c r="F45" s="4"/>
      <c r="G45" s="5"/>
    </row>
    <row r="46" spans="2:7" x14ac:dyDescent="0.2">
      <c r="B46" s="6"/>
      <c r="F46" s="4"/>
      <c r="G46" s="5"/>
    </row>
    <row r="47" spans="2:7" x14ac:dyDescent="0.2">
      <c r="B47" s="6"/>
      <c r="F47" s="4"/>
      <c r="G47" s="5"/>
    </row>
    <row r="48" spans="2:7" x14ac:dyDescent="0.2">
      <c r="B48" s="6"/>
      <c r="F48" s="4"/>
      <c r="G48" s="5"/>
    </row>
    <row r="49" spans="2:7" x14ac:dyDescent="0.2">
      <c r="B49" s="6"/>
      <c r="F49" s="4"/>
      <c r="G49" s="5"/>
    </row>
    <row r="50" spans="2:7" x14ac:dyDescent="0.2">
      <c r="B50" s="6"/>
      <c r="F50" s="4"/>
      <c r="G50" s="5"/>
    </row>
    <row r="51" spans="2:7" x14ac:dyDescent="0.2">
      <c r="B51" s="6"/>
      <c r="F51" s="4"/>
      <c r="G51" s="5"/>
    </row>
    <row r="52" spans="2:7" x14ac:dyDescent="0.2">
      <c r="B52" s="6"/>
      <c r="F52" s="4"/>
      <c r="G52" s="5"/>
    </row>
    <row r="53" spans="2:7" x14ac:dyDescent="0.2">
      <c r="B53" s="6"/>
      <c r="F53" s="4"/>
      <c r="G53" s="5"/>
    </row>
    <row r="54" spans="2:7" x14ac:dyDescent="0.2">
      <c r="B54" s="6"/>
      <c r="F54" s="4"/>
      <c r="G54" s="5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20040-D186-934E-A79B-D12562606B28}">
  <dimension ref="A1:BU14"/>
  <sheetViews>
    <sheetView workbookViewId="0">
      <selection activeCell="U3" sqref="U3"/>
    </sheetView>
  </sheetViews>
  <sheetFormatPr baseColWidth="10" defaultRowHeight="16" x14ac:dyDescent="0.2"/>
  <sheetData>
    <row r="1" spans="1:73" x14ac:dyDescent="0.2">
      <c r="A1" t="s">
        <v>35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s="3" t="s">
        <v>52</v>
      </c>
      <c r="AM1" t="s">
        <v>0</v>
      </c>
      <c r="AN1" t="s">
        <v>1</v>
      </c>
      <c r="AO1" t="s">
        <v>2</v>
      </c>
      <c r="AP1" t="s">
        <v>3</v>
      </c>
      <c r="AQ1" t="s">
        <v>4</v>
      </c>
      <c r="AR1" t="s">
        <v>5</v>
      </c>
      <c r="AS1" t="s">
        <v>6</v>
      </c>
      <c r="AT1" t="s">
        <v>7</v>
      </c>
      <c r="AU1" t="s">
        <v>8</v>
      </c>
      <c r="AV1" t="s">
        <v>9</v>
      </c>
      <c r="AW1" t="s">
        <v>10</v>
      </c>
      <c r="AX1" t="s">
        <v>11</v>
      </c>
      <c r="AY1" t="s">
        <v>12</v>
      </c>
      <c r="AZ1" t="s">
        <v>13</v>
      </c>
      <c r="BA1" t="s">
        <v>14</v>
      </c>
      <c r="BB1" t="s">
        <v>15</v>
      </c>
      <c r="BC1" t="s">
        <v>16</v>
      </c>
      <c r="BD1" t="s">
        <v>17</v>
      </c>
      <c r="BE1" t="s">
        <v>18</v>
      </c>
      <c r="BF1" t="s">
        <v>19</v>
      </c>
      <c r="BG1" t="s">
        <v>20</v>
      </c>
      <c r="BH1" t="s">
        <v>21</v>
      </c>
      <c r="BI1" t="s">
        <v>22</v>
      </c>
      <c r="BJ1" t="s">
        <v>23</v>
      </c>
      <c r="BK1" t="s">
        <v>24</v>
      </c>
      <c r="BL1" t="s">
        <v>25</v>
      </c>
      <c r="BM1" t="s">
        <v>26</v>
      </c>
      <c r="BN1" t="s">
        <v>27</v>
      </c>
      <c r="BO1" t="s">
        <v>28</v>
      </c>
      <c r="BP1" t="s">
        <v>29</v>
      </c>
      <c r="BQ1" t="s">
        <v>30</v>
      </c>
      <c r="BR1" t="s">
        <v>31</v>
      </c>
      <c r="BS1" t="s">
        <v>32</v>
      </c>
      <c r="BT1" t="s">
        <v>33</v>
      </c>
      <c r="BU1" t="s">
        <v>34</v>
      </c>
    </row>
    <row r="2" spans="1:73" x14ac:dyDescent="0.2">
      <c r="A2" t="s">
        <v>37</v>
      </c>
      <c r="B2">
        <v>0</v>
      </c>
      <c r="C2">
        <v>204000000</v>
      </c>
      <c r="D2">
        <v>0</v>
      </c>
      <c r="E2">
        <v>0</v>
      </c>
      <c r="F2">
        <v>557000</v>
      </c>
      <c r="G2">
        <v>0</v>
      </c>
      <c r="H2">
        <v>246000000</v>
      </c>
      <c r="I2">
        <v>551000</v>
      </c>
      <c r="J2">
        <v>282000000</v>
      </c>
      <c r="K2">
        <v>377000000</v>
      </c>
      <c r="L2">
        <v>0</v>
      </c>
      <c r="M2">
        <v>197000000</v>
      </c>
      <c r="N2">
        <v>595000000</v>
      </c>
      <c r="O2">
        <v>211000000</v>
      </c>
      <c r="P2">
        <v>428000000</v>
      </c>
      <c r="Q2">
        <v>257000000</v>
      </c>
      <c r="R2">
        <v>424000000</v>
      </c>
      <c r="S2">
        <v>229000000</v>
      </c>
      <c r="T2">
        <v>549000</v>
      </c>
      <c r="U2">
        <v>458000000</v>
      </c>
      <c r="V2">
        <v>429000000</v>
      </c>
      <c r="W2">
        <v>436000000</v>
      </c>
      <c r="X2">
        <v>0</v>
      </c>
      <c r="Y2">
        <v>431000000</v>
      </c>
      <c r="Z2">
        <v>410000000</v>
      </c>
      <c r="AA2">
        <v>446000000</v>
      </c>
      <c r="AB2">
        <v>528000</v>
      </c>
      <c r="AC2">
        <v>386000000</v>
      </c>
      <c r="AD2">
        <v>386000000</v>
      </c>
      <c r="AE2">
        <v>434000000</v>
      </c>
      <c r="AF2">
        <v>589000</v>
      </c>
      <c r="AG2">
        <v>370000000</v>
      </c>
      <c r="AH2">
        <v>321000000</v>
      </c>
      <c r="AI2">
        <v>335000000</v>
      </c>
      <c r="AJ2">
        <v>241000000</v>
      </c>
      <c r="AK2" s="3">
        <v>0.23699999999999999</v>
      </c>
      <c r="AM2" s="2">
        <f>B2/$AK$2</f>
        <v>0</v>
      </c>
      <c r="AN2" s="2">
        <f t="shared" ref="AN2:BU9" si="0">C2/$AK$2</f>
        <v>860759493.67088616</v>
      </c>
      <c r="AO2" s="2">
        <f t="shared" si="0"/>
        <v>0</v>
      </c>
      <c r="AP2" s="2">
        <f t="shared" si="0"/>
        <v>0</v>
      </c>
      <c r="AQ2" s="2">
        <f t="shared" si="0"/>
        <v>2350210.9704641351</v>
      </c>
      <c r="AR2" s="2">
        <f t="shared" si="0"/>
        <v>0</v>
      </c>
      <c r="AS2" s="2">
        <f t="shared" si="0"/>
        <v>1037974683.5443039</v>
      </c>
      <c r="AT2" s="2">
        <f t="shared" si="0"/>
        <v>2324894.5147679327</v>
      </c>
      <c r="AU2" s="2">
        <f t="shared" si="0"/>
        <v>1189873417.721519</v>
      </c>
      <c r="AV2" s="2">
        <f t="shared" si="0"/>
        <v>1590717299.5780592</v>
      </c>
      <c r="AW2" s="2">
        <f t="shared" si="0"/>
        <v>0</v>
      </c>
      <c r="AX2" s="2">
        <f t="shared" si="0"/>
        <v>831223628.6919831</v>
      </c>
      <c r="AY2" s="2">
        <f t="shared" si="0"/>
        <v>2510548523.2067513</v>
      </c>
      <c r="AZ2" s="2">
        <f t="shared" si="0"/>
        <v>890295358.64978909</v>
      </c>
      <c r="BA2" s="2">
        <f t="shared" si="0"/>
        <v>1805907172.9957807</v>
      </c>
      <c r="BB2" s="2">
        <f t="shared" si="0"/>
        <v>1084388185.6540084</v>
      </c>
      <c r="BC2" s="2">
        <f t="shared" si="0"/>
        <v>1789029535.864979</v>
      </c>
      <c r="BD2" s="2">
        <f t="shared" si="0"/>
        <v>966244725.73839664</v>
      </c>
      <c r="BE2" s="2">
        <f t="shared" si="0"/>
        <v>2316455.6962025319</v>
      </c>
      <c r="BF2" s="2">
        <f t="shared" si="0"/>
        <v>1932489451.4767933</v>
      </c>
      <c r="BG2" s="2">
        <f t="shared" si="0"/>
        <v>1810126582.278481</v>
      </c>
      <c r="BH2" s="2">
        <f t="shared" si="0"/>
        <v>1839662447.2573841</v>
      </c>
      <c r="BI2" s="2">
        <f t="shared" si="0"/>
        <v>0</v>
      </c>
      <c r="BJ2" s="2">
        <f t="shared" si="0"/>
        <v>1818565400.8438818</v>
      </c>
      <c r="BK2" s="2">
        <f t="shared" si="0"/>
        <v>1729957805.9071732</v>
      </c>
      <c r="BL2" s="2">
        <f t="shared" si="0"/>
        <v>1881856540.0843883</v>
      </c>
      <c r="BM2" s="2">
        <f t="shared" si="0"/>
        <v>2227848.101265823</v>
      </c>
      <c r="BN2" s="2">
        <f t="shared" si="0"/>
        <v>1628691983.1223629</v>
      </c>
      <c r="BO2" s="2">
        <f t="shared" si="0"/>
        <v>1628691983.1223629</v>
      </c>
      <c r="BP2" s="2">
        <f t="shared" si="0"/>
        <v>1831223628.6919832</v>
      </c>
      <c r="BQ2" s="2">
        <f t="shared" si="0"/>
        <v>2485232.0675105485</v>
      </c>
      <c r="BR2" s="2">
        <f t="shared" si="0"/>
        <v>1561181434.5991561</v>
      </c>
      <c r="BS2" s="2">
        <f t="shared" si="0"/>
        <v>1354430379.7468355</v>
      </c>
      <c r="BT2" s="2">
        <f t="shared" si="0"/>
        <v>1413502109.7046413</v>
      </c>
      <c r="BU2" s="2">
        <f t="shared" si="0"/>
        <v>1016877637.1308017</v>
      </c>
    </row>
    <row r="3" spans="1:73" x14ac:dyDescent="0.2">
      <c r="A3" t="s">
        <v>38</v>
      </c>
      <c r="B3">
        <v>4610</v>
      </c>
      <c r="C3">
        <v>414000000</v>
      </c>
      <c r="D3">
        <v>4360</v>
      </c>
      <c r="E3">
        <v>4050</v>
      </c>
      <c r="F3">
        <v>542000</v>
      </c>
      <c r="G3">
        <v>3770</v>
      </c>
      <c r="H3">
        <v>510000000</v>
      </c>
      <c r="I3">
        <v>530000</v>
      </c>
      <c r="J3">
        <v>595000000</v>
      </c>
      <c r="K3">
        <v>704000000</v>
      </c>
      <c r="L3">
        <v>4010</v>
      </c>
      <c r="M3">
        <v>413000000</v>
      </c>
      <c r="N3">
        <v>1315000000</v>
      </c>
      <c r="O3">
        <v>426000000</v>
      </c>
      <c r="P3">
        <v>989000000</v>
      </c>
      <c r="Q3">
        <v>533000000</v>
      </c>
      <c r="R3">
        <v>840000000</v>
      </c>
      <c r="S3">
        <v>469000000</v>
      </c>
      <c r="T3">
        <v>536000</v>
      </c>
      <c r="U3">
        <v>948000000</v>
      </c>
      <c r="V3">
        <v>950000000</v>
      </c>
      <c r="W3">
        <v>1036000000</v>
      </c>
      <c r="X3">
        <v>4830</v>
      </c>
      <c r="Y3">
        <v>955000000</v>
      </c>
      <c r="Z3">
        <v>910000000</v>
      </c>
      <c r="AA3">
        <v>1006000000</v>
      </c>
      <c r="AB3">
        <v>514000</v>
      </c>
      <c r="AC3">
        <v>743000000</v>
      </c>
      <c r="AD3">
        <v>744000000</v>
      </c>
      <c r="AE3">
        <v>834000000</v>
      </c>
      <c r="AF3">
        <v>563000</v>
      </c>
      <c r="AG3">
        <v>722000000</v>
      </c>
      <c r="AH3">
        <v>618000000</v>
      </c>
      <c r="AI3">
        <v>627000000</v>
      </c>
      <c r="AJ3">
        <v>517000000</v>
      </c>
      <c r="AK3" s="3">
        <v>0.61299999999999999</v>
      </c>
      <c r="AM3" s="2">
        <f>B3/$AK$3</f>
        <v>7520.3915171288745</v>
      </c>
      <c r="AN3" s="2">
        <f t="shared" si="0"/>
        <v>1746835443.0379748</v>
      </c>
      <c r="AO3" s="2">
        <f t="shared" si="0"/>
        <v>18396.62447257384</v>
      </c>
      <c r="AP3" s="2">
        <f t="shared" si="0"/>
        <v>17088.607594936711</v>
      </c>
      <c r="AQ3" s="2">
        <f t="shared" si="0"/>
        <v>2286919.8312236289</v>
      </c>
      <c r="AR3" s="2">
        <f t="shared" si="0"/>
        <v>15907.172995780591</v>
      </c>
      <c r="AS3" s="2">
        <f t="shared" si="0"/>
        <v>2151898734.1772151</v>
      </c>
      <c r="AT3" s="2">
        <f t="shared" si="0"/>
        <v>2236286.9198312238</v>
      </c>
      <c r="AU3" s="2">
        <f t="shared" si="0"/>
        <v>2510548523.2067513</v>
      </c>
      <c r="AV3" s="2">
        <f t="shared" si="0"/>
        <v>2970464135.0210972</v>
      </c>
      <c r="AW3" s="2">
        <f t="shared" si="0"/>
        <v>16919.831223628691</v>
      </c>
      <c r="AX3" s="2">
        <f t="shared" si="0"/>
        <v>1742616033.7552743</v>
      </c>
      <c r="AY3" s="2">
        <f t="shared" si="0"/>
        <v>5548523206.7510548</v>
      </c>
      <c r="AZ3" s="2">
        <f t="shared" si="0"/>
        <v>1797468354.4303799</v>
      </c>
      <c r="BA3" s="2">
        <f t="shared" si="0"/>
        <v>4172995780.5907173</v>
      </c>
      <c r="BB3" s="2">
        <f t="shared" si="0"/>
        <v>2248945147.6793251</v>
      </c>
      <c r="BC3" s="2">
        <f t="shared" si="0"/>
        <v>3544303797.4683547</v>
      </c>
      <c r="BD3" s="2">
        <f t="shared" si="0"/>
        <v>1978902953.586498</v>
      </c>
      <c r="BE3" s="2">
        <f t="shared" si="0"/>
        <v>2261603.3755274261</v>
      </c>
      <c r="BF3" s="2">
        <f t="shared" si="0"/>
        <v>4000000000</v>
      </c>
      <c r="BG3" s="2">
        <f t="shared" si="0"/>
        <v>4008438818.5654011</v>
      </c>
      <c r="BH3" s="2">
        <f t="shared" si="0"/>
        <v>4371308016.8776369</v>
      </c>
      <c r="BI3" s="2">
        <f t="shared" si="0"/>
        <v>20379.746835443038</v>
      </c>
      <c r="BJ3" s="2">
        <f t="shared" si="0"/>
        <v>4029535864.9789033</v>
      </c>
      <c r="BK3" s="2">
        <f t="shared" si="0"/>
        <v>3839662447.2573843</v>
      </c>
      <c r="BL3" s="2">
        <f t="shared" si="0"/>
        <v>4244725738.3966246</v>
      </c>
      <c r="BM3" s="2">
        <f t="shared" si="0"/>
        <v>2168776.3713080171</v>
      </c>
      <c r="BN3" s="2">
        <f t="shared" si="0"/>
        <v>3135021097.0464134</v>
      </c>
      <c r="BO3" s="2">
        <f t="shared" si="0"/>
        <v>3139240506.329114</v>
      </c>
      <c r="BP3" s="2">
        <f t="shared" si="0"/>
        <v>3518987341.7721519</v>
      </c>
      <c r="BQ3" s="2">
        <f t="shared" si="0"/>
        <v>2375527.4261603379</v>
      </c>
      <c r="BR3" s="2">
        <f t="shared" si="0"/>
        <v>3046413502.109705</v>
      </c>
      <c r="BS3" s="2">
        <f t="shared" si="0"/>
        <v>2607594936.7088609</v>
      </c>
      <c r="BT3" s="2">
        <f t="shared" si="0"/>
        <v>2645569620.2531648</v>
      </c>
      <c r="BU3" s="2">
        <f t="shared" si="0"/>
        <v>2181434599.1561184</v>
      </c>
    </row>
    <row r="4" spans="1:73" x14ac:dyDescent="0.2">
      <c r="A4" t="s">
        <v>39</v>
      </c>
      <c r="B4">
        <v>25</v>
      </c>
      <c r="C4">
        <v>59100000</v>
      </c>
      <c r="D4">
        <v>29</v>
      </c>
      <c r="E4">
        <v>14</v>
      </c>
      <c r="F4">
        <v>629000</v>
      </c>
      <c r="G4">
        <v>0</v>
      </c>
      <c r="H4">
        <v>74500000</v>
      </c>
      <c r="I4">
        <v>622000</v>
      </c>
      <c r="J4">
        <v>86200000</v>
      </c>
      <c r="K4">
        <v>95000000</v>
      </c>
      <c r="L4">
        <v>11.8</v>
      </c>
      <c r="M4">
        <v>59000000</v>
      </c>
      <c r="N4">
        <v>190000000</v>
      </c>
      <c r="O4">
        <v>61800000</v>
      </c>
      <c r="P4">
        <v>143000000</v>
      </c>
      <c r="Q4">
        <v>78600000</v>
      </c>
      <c r="R4">
        <v>113000000</v>
      </c>
      <c r="S4">
        <v>69900000</v>
      </c>
      <c r="T4">
        <v>622000</v>
      </c>
      <c r="U4">
        <v>137000000</v>
      </c>
      <c r="V4">
        <v>133000000</v>
      </c>
      <c r="W4">
        <v>149000000</v>
      </c>
      <c r="X4">
        <v>16</v>
      </c>
      <c r="Y4">
        <v>140000000</v>
      </c>
      <c r="Z4">
        <v>132000000</v>
      </c>
      <c r="AA4">
        <v>148000000</v>
      </c>
      <c r="AB4">
        <v>607000</v>
      </c>
      <c r="AC4">
        <v>97700000</v>
      </c>
      <c r="AD4">
        <v>99100000</v>
      </c>
      <c r="AE4">
        <v>111000000</v>
      </c>
      <c r="AF4">
        <v>665000</v>
      </c>
      <c r="AG4">
        <v>95000000</v>
      </c>
      <c r="AH4">
        <v>82300000</v>
      </c>
      <c r="AI4">
        <v>81900000</v>
      </c>
      <c r="AJ4">
        <v>73600000</v>
      </c>
      <c r="AK4" s="3">
        <v>9.2799999999999994E-2</v>
      </c>
      <c r="AM4" s="2">
        <f>B4/$AK$4</f>
        <v>269.39655172413796</v>
      </c>
      <c r="AN4" s="2">
        <f t="shared" si="0"/>
        <v>249367088.60759494</v>
      </c>
      <c r="AO4" s="2">
        <f t="shared" si="0"/>
        <v>122.36286919831224</v>
      </c>
      <c r="AP4" s="2">
        <f t="shared" si="0"/>
        <v>59.071729957805907</v>
      </c>
      <c r="AQ4" s="2">
        <f t="shared" si="0"/>
        <v>2654008.4388185656</v>
      </c>
      <c r="AR4" s="2">
        <f t="shared" si="0"/>
        <v>0</v>
      </c>
      <c r="AS4" s="2">
        <f t="shared" si="0"/>
        <v>314345991.56118143</v>
      </c>
      <c r="AT4" s="2">
        <f t="shared" si="0"/>
        <v>2624472.5738396626</v>
      </c>
      <c r="AU4" s="2">
        <f t="shared" si="0"/>
        <v>363713080.16877639</v>
      </c>
      <c r="AV4" s="2">
        <f t="shared" si="0"/>
        <v>400843881.85654008</v>
      </c>
      <c r="AW4" s="2">
        <f t="shared" si="0"/>
        <v>49.789029535864984</v>
      </c>
      <c r="AX4" s="2">
        <f t="shared" si="0"/>
        <v>248945147.6793249</v>
      </c>
      <c r="AY4" s="2">
        <f t="shared" si="0"/>
        <v>801687763.71308017</v>
      </c>
      <c r="AZ4" s="2">
        <f t="shared" si="0"/>
        <v>260759493.6708861</v>
      </c>
      <c r="BA4" s="2">
        <f t="shared" si="0"/>
        <v>603375527.42616034</v>
      </c>
      <c r="BB4" s="2">
        <f t="shared" si="0"/>
        <v>331645569.62025321</v>
      </c>
      <c r="BC4" s="2">
        <f t="shared" si="0"/>
        <v>476793248.94514769</v>
      </c>
      <c r="BD4" s="2">
        <f t="shared" si="0"/>
        <v>294936708.8607595</v>
      </c>
      <c r="BE4" s="2">
        <f t="shared" si="0"/>
        <v>2624472.5738396626</v>
      </c>
      <c r="BF4" s="2">
        <f t="shared" si="0"/>
        <v>578059071.72995782</v>
      </c>
      <c r="BG4" s="2">
        <f t="shared" si="0"/>
        <v>561181434.59915614</v>
      </c>
      <c r="BH4" s="2">
        <f t="shared" si="0"/>
        <v>628691983.12236285</v>
      </c>
      <c r="BI4" s="2">
        <f t="shared" si="0"/>
        <v>67.510548523206751</v>
      </c>
      <c r="BJ4" s="2">
        <f t="shared" si="0"/>
        <v>590717299.57805908</v>
      </c>
      <c r="BK4" s="2">
        <f t="shared" si="0"/>
        <v>556962025.31645572</v>
      </c>
      <c r="BL4" s="2">
        <f t="shared" si="0"/>
        <v>624472573.83966243</v>
      </c>
      <c r="BM4" s="2">
        <f t="shared" si="0"/>
        <v>2561181.434599156</v>
      </c>
      <c r="BN4" s="2">
        <f t="shared" si="0"/>
        <v>412236286.91983122</v>
      </c>
      <c r="BO4" s="2">
        <f t="shared" si="0"/>
        <v>418143459.91561186</v>
      </c>
      <c r="BP4" s="2">
        <f t="shared" si="0"/>
        <v>468354430.37974685</v>
      </c>
      <c r="BQ4" s="2">
        <f t="shared" si="0"/>
        <v>2805907.1729957806</v>
      </c>
      <c r="BR4" s="2">
        <f t="shared" si="0"/>
        <v>400843881.85654008</v>
      </c>
      <c r="BS4" s="2">
        <f t="shared" si="0"/>
        <v>347257383.96624476</v>
      </c>
      <c r="BT4" s="2">
        <f t="shared" si="0"/>
        <v>345569620.25316459</v>
      </c>
      <c r="BU4" s="2">
        <f t="shared" si="0"/>
        <v>310548523.20675105</v>
      </c>
    </row>
    <row r="5" spans="1:73" x14ac:dyDescent="0.2">
      <c r="A5" t="s">
        <v>40</v>
      </c>
      <c r="B5">
        <v>67</v>
      </c>
      <c r="C5">
        <v>39900000</v>
      </c>
      <c r="D5">
        <v>75</v>
      </c>
      <c r="E5">
        <v>33</v>
      </c>
      <c r="F5">
        <v>104000</v>
      </c>
      <c r="G5">
        <v>56</v>
      </c>
      <c r="H5">
        <v>50800000</v>
      </c>
      <c r="I5">
        <v>104000</v>
      </c>
      <c r="J5">
        <v>59100000</v>
      </c>
      <c r="K5">
        <v>61000000</v>
      </c>
      <c r="L5">
        <v>63</v>
      </c>
      <c r="M5">
        <v>39500000</v>
      </c>
      <c r="N5">
        <v>125300000</v>
      </c>
      <c r="O5">
        <v>42000000</v>
      </c>
      <c r="P5">
        <v>92000000</v>
      </c>
      <c r="Q5">
        <v>53800000</v>
      </c>
      <c r="R5">
        <v>71200000</v>
      </c>
      <c r="S5">
        <v>48400000</v>
      </c>
      <c r="T5">
        <v>106000</v>
      </c>
      <c r="U5">
        <v>90200000</v>
      </c>
      <c r="V5">
        <v>89200000</v>
      </c>
      <c r="W5">
        <v>96900000</v>
      </c>
      <c r="X5">
        <v>87</v>
      </c>
      <c r="Y5">
        <v>92800000</v>
      </c>
      <c r="Z5">
        <v>88600000</v>
      </c>
      <c r="AA5">
        <v>96800000</v>
      </c>
      <c r="AB5">
        <v>101000</v>
      </c>
      <c r="AC5">
        <v>63300000</v>
      </c>
      <c r="AD5">
        <v>62100000</v>
      </c>
      <c r="AE5">
        <v>69800000</v>
      </c>
      <c r="AF5">
        <v>110000</v>
      </c>
      <c r="AG5">
        <v>59500000</v>
      </c>
      <c r="AH5">
        <v>52500000</v>
      </c>
      <c r="AI5">
        <v>52300000</v>
      </c>
      <c r="AJ5">
        <v>50900000</v>
      </c>
      <c r="AK5" s="3">
        <v>0.45700000000000002</v>
      </c>
      <c r="AM5" s="2">
        <f>B5/$AK$5</f>
        <v>146.60831509846827</v>
      </c>
      <c r="AN5" s="2">
        <f t="shared" si="0"/>
        <v>168354430.37974685</v>
      </c>
      <c r="AO5" s="2">
        <f t="shared" si="0"/>
        <v>316.45569620253167</v>
      </c>
      <c r="AP5" s="2">
        <f t="shared" si="0"/>
        <v>139.24050632911394</v>
      </c>
      <c r="AQ5" s="2">
        <f t="shared" si="0"/>
        <v>438818.56540084392</v>
      </c>
      <c r="AR5" s="2">
        <f t="shared" si="0"/>
        <v>236.28691983122363</v>
      </c>
      <c r="AS5" s="2">
        <f t="shared" si="0"/>
        <v>214345991.56118146</v>
      </c>
      <c r="AT5" s="2">
        <f t="shared" si="0"/>
        <v>438818.56540084392</v>
      </c>
      <c r="AU5" s="2">
        <f t="shared" si="0"/>
        <v>249367088.60759494</v>
      </c>
      <c r="AV5" s="2">
        <f t="shared" si="0"/>
        <v>257383966.24472576</v>
      </c>
      <c r="AW5" s="2">
        <f t="shared" si="0"/>
        <v>265.82278481012662</v>
      </c>
      <c r="AX5" s="2">
        <f t="shared" si="0"/>
        <v>166666666.66666669</v>
      </c>
      <c r="AY5" s="2">
        <f t="shared" si="0"/>
        <v>528691983.12236291</v>
      </c>
      <c r="AZ5" s="2">
        <f t="shared" si="0"/>
        <v>177215189.87341774</v>
      </c>
      <c r="BA5" s="2">
        <f t="shared" si="0"/>
        <v>388185654.00843883</v>
      </c>
      <c r="BB5" s="2">
        <f t="shared" si="0"/>
        <v>227004219.40928271</v>
      </c>
      <c r="BC5" s="2">
        <f t="shared" si="0"/>
        <v>300421940.92827004</v>
      </c>
      <c r="BD5" s="2">
        <f t="shared" si="0"/>
        <v>204219409.28270042</v>
      </c>
      <c r="BE5" s="2">
        <f t="shared" si="0"/>
        <v>447257.38396624476</v>
      </c>
      <c r="BF5" s="2">
        <f t="shared" si="0"/>
        <v>380590717.29957807</v>
      </c>
      <c r="BG5" s="2">
        <f t="shared" si="0"/>
        <v>376371308.01687765</v>
      </c>
      <c r="BH5" s="2">
        <f t="shared" si="0"/>
        <v>408860759.49367088</v>
      </c>
      <c r="BI5" s="2">
        <f t="shared" si="0"/>
        <v>367.08860759493672</v>
      </c>
      <c r="BJ5" s="2">
        <f t="shared" si="0"/>
        <v>391561181.43459916</v>
      </c>
      <c r="BK5" s="2">
        <f t="shared" si="0"/>
        <v>373839662.4472574</v>
      </c>
      <c r="BL5" s="2">
        <f t="shared" si="0"/>
        <v>408438818.56540084</v>
      </c>
      <c r="BM5" s="2">
        <f t="shared" si="0"/>
        <v>426160.33755274263</v>
      </c>
      <c r="BN5" s="2">
        <f t="shared" si="0"/>
        <v>267088607.59493673</v>
      </c>
      <c r="BO5" s="2">
        <f t="shared" si="0"/>
        <v>262025316.45569623</v>
      </c>
      <c r="BP5" s="2">
        <f t="shared" si="0"/>
        <v>294514767.93248945</v>
      </c>
      <c r="BQ5" s="2">
        <f t="shared" si="0"/>
        <v>464135.02109704644</v>
      </c>
      <c r="BR5" s="2">
        <f t="shared" si="0"/>
        <v>251054852.3206751</v>
      </c>
      <c r="BS5" s="2">
        <f t="shared" si="0"/>
        <v>221518987.34177217</v>
      </c>
      <c r="BT5" s="2">
        <f t="shared" si="0"/>
        <v>220675105.48523208</v>
      </c>
      <c r="BU5" s="2">
        <f t="shared" si="0"/>
        <v>214767932.4894515</v>
      </c>
    </row>
    <row r="6" spans="1:73" x14ac:dyDescent="0.2">
      <c r="A6" t="s">
        <v>41</v>
      </c>
      <c r="B6">
        <v>142</v>
      </c>
      <c r="C6">
        <v>6240000</v>
      </c>
      <c r="D6">
        <v>120</v>
      </c>
      <c r="E6">
        <v>86</v>
      </c>
      <c r="F6">
        <v>92000</v>
      </c>
      <c r="G6">
        <v>77</v>
      </c>
      <c r="H6">
        <v>8010000</v>
      </c>
      <c r="I6">
        <v>91000</v>
      </c>
      <c r="J6">
        <v>9800000</v>
      </c>
      <c r="K6">
        <v>8060000</v>
      </c>
      <c r="L6">
        <v>73</v>
      </c>
      <c r="M6">
        <v>6270000</v>
      </c>
      <c r="N6">
        <v>13170000</v>
      </c>
      <c r="O6">
        <v>6550000</v>
      </c>
      <c r="P6">
        <v>7980000</v>
      </c>
      <c r="Q6">
        <v>8660000</v>
      </c>
      <c r="R6">
        <v>10400000</v>
      </c>
      <c r="S6">
        <v>7670000</v>
      </c>
      <c r="T6">
        <v>93000</v>
      </c>
      <c r="U6">
        <v>10280000</v>
      </c>
      <c r="V6">
        <v>9470000</v>
      </c>
      <c r="W6">
        <v>8630000</v>
      </c>
      <c r="X6">
        <v>108</v>
      </c>
      <c r="Y6">
        <v>10120000</v>
      </c>
      <c r="Z6">
        <v>9740000</v>
      </c>
      <c r="AA6">
        <v>8970000</v>
      </c>
      <c r="AB6">
        <v>91000</v>
      </c>
      <c r="AC6">
        <v>9030000</v>
      </c>
      <c r="AD6">
        <v>8920000</v>
      </c>
      <c r="AE6">
        <v>9540000</v>
      </c>
      <c r="AF6">
        <v>100000</v>
      </c>
      <c r="AG6">
        <v>8110000</v>
      </c>
      <c r="AH6">
        <v>7130000</v>
      </c>
      <c r="AI6">
        <v>7280000</v>
      </c>
      <c r="AJ6">
        <v>8200000</v>
      </c>
      <c r="AK6" s="3">
        <v>0.14799999999999999</v>
      </c>
      <c r="AM6" s="2">
        <f>B6/$AK$6</f>
        <v>959.45945945945948</v>
      </c>
      <c r="AN6" s="2">
        <f>C6/$AK$2</f>
        <v>26329113.924050633</v>
      </c>
      <c r="AO6" s="2">
        <f t="shared" si="0"/>
        <v>506.32911392405066</v>
      </c>
      <c r="AP6" s="2">
        <f t="shared" si="0"/>
        <v>362.86919831223628</v>
      </c>
      <c r="AQ6" s="2">
        <f t="shared" si="0"/>
        <v>388185.65400843881</v>
      </c>
      <c r="AR6" s="2">
        <f t="shared" si="0"/>
        <v>324.89451476793249</v>
      </c>
      <c r="AS6" s="2">
        <f t="shared" si="0"/>
        <v>33797468.354430385</v>
      </c>
      <c r="AT6" s="2">
        <f t="shared" si="0"/>
        <v>383966.24472573842</v>
      </c>
      <c r="AU6" s="2">
        <f t="shared" si="0"/>
        <v>41350210.97046414</v>
      </c>
      <c r="AV6" s="2">
        <f t="shared" si="0"/>
        <v>34008438.818565406</v>
      </c>
      <c r="AW6" s="2">
        <f t="shared" si="0"/>
        <v>308.01687763713079</v>
      </c>
      <c r="AX6" s="2">
        <f t="shared" si="0"/>
        <v>26455696.202531647</v>
      </c>
      <c r="AY6" s="2">
        <f t="shared" si="0"/>
        <v>55569620.25316456</v>
      </c>
      <c r="AZ6" s="2">
        <f t="shared" si="0"/>
        <v>27637130.801687766</v>
      </c>
      <c r="BA6" s="2">
        <f t="shared" si="0"/>
        <v>33670886.075949371</v>
      </c>
      <c r="BB6" s="2">
        <f t="shared" si="0"/>
        <v>36540084.388185658</v>
      </c>
      <c r="BC6" s="2">
        <f t="shared" si="0"/>
        <v>43881856.540084392</v>
      </c>
      <c r="BD6" s="2">
        <f t="shared" si="0"/>
        <v>32362869.198312238</v>
      </c>
      <c r="BE6" s="2">
        <f t="shared" si="0"/>
        <v>392405.06329113926</v>
      </c>
      <c r="BF6" s="2">
        <f t="shared" si="0"/>
        <v>43375527.426160343</v>
      </c>
      <c r="BG6" s="2">
        <f t="shared" si="0"/>
        <v>39957805.907173</v>
      </c>
      <c r="BH6" s="2">
        <f t="shared" si="0"/>
        <v>36413502.109704643</v>
      </c>
      <c r="BI6" s="2">
        <f t="shared" si="0"/>
        <v>455.69620253164561</v>
      </c>
      <c r="BJ6" s="2">
        <f t="shared" si="0"/>
        <v>42700421.940928273</v>
      </c>
      <c r="BK6" s="2">
        <f t="shared" si="0"/>
        <v>41097046.413502112</v>
      </c>
      <c r="BL6" s="2">
        <f t="shared" si="0"/>
        <v>37848101.265822783</v>
      </c>
      <c r="BM6" s="2">
        <f t="shared" si="0"/>
        <v>383966.24472573842</v>
      </c>
      <c r="BN6" s="2">
        <f t="shared" si="0"/>
        <v>38101265.822784811</v>
      </c>
      <c r="BO6" s="2">
        <f t="shared" si="0"/>
        <v>37637130.801687762</v>
      </c>
      <c r="BP6" s="2">
        <f t="shared" si="0"/>
        <v>40253164.556962028</v>
      </c>
      <c r="BQ6" s="2">
        <f t="shared" si="0"/>
        <v>421940.92827004223</v>
      </c>
      <c r="BR6" s="2">
        <f t="shared" si="0"/>
        <v>34219409.282700427</v>
      </c>
      <c r="BS6" s="2">
        <f t="shared" si="0"/>
        <v>30084388.185654011</v>
      </c>
      <c r="BT6" s="2">
        <f t="shared" si="0"/>
        <v>30717299.578059074</v>
      </c>
      <c r="BU6" s="2">
        <f t="shared" si="0"/>
        <v>34599156.118143462</v>
      </c>
    </row>
    <row r="7" spans="1:73" x14ac:dyDescent="0.2">
      <c r="A7" t="s">
        <v>42</v>
      </c>
      <c r="B7">
        <v>224</v>
      </c>
      <c r="C7">
        <v>2470000</v>
      </c>
      <c r="D7">
        <v>237</v>
      </c>
      <c r="E7">
        <v>186</v>
      </c>
      <c r="F7">
        <v>300000</v>
      </c>
      <c r="G7">
        <v>202</v>
      </c>
      <c r="H7">
        <v>3130000</v>
      </c>
      <c r="I7">
        <v>299000</v>
      </c>
      <c r="J7">
        <v>3840000</v>
      </c>
      <c r="K7">
        <v>1720000</v>
      </c>
      <c r="L7">
        <v>212</v>
      </c>
      <c r="M7">
        <v>2510000</v>
      </c>
      <c r="N7">
        <v>303000</v>
      </c>
      <c r="O7">
        <v>2600000</v>
      </c>
      <c r="P7">
        <v>161000</v>
      </c>
      <c r="Q7">
        <v>3550000</v>
      </c>
      <c r="R7">
        <v>2060000</v>
      </c>
      <c r="S7">
        <v>2530000</v>
      </c>
      <c r="T7">
        <v>300000</v>
      </c>
      <c r="U7">
        <v>236000</v>
      </c>
      <c r="V7">
        <v>220000</v>
      </c>
      <c r="W7">
        <v>176000</v>
      </c>
      <c r="X7">
        <v>225</v>
      </c>
      <c r="Y7">
        <v>159000</v>
      </c>
      <c r="Z7">
        <v>150000</v>
      </c>
      <c r="AA7">
        <v>241000</v>
      </c>
      <c r="AB7">
        <v>295000</v>
      </c>
      <c r="AC7">
        <v>1770000</v>
      </c>
      <c r="AD7">
        <v>1690000</v>
      </c>
      <c r="AE7">
        <v>1830000</v>
      </c>
      <c r="AF7">
        <v>316000</v>
      </c>
      <c r="AG7">
        <v>1610000</v>
      </c>
      <c r="AH7">
        <v>1490000</v>
      </c>
      <c r="AI7">
        <v>1460000</v>
      </c>
      <c r="AJ7">
        <v>2980000</v>
      </c>
      <c r="AK7" s="3">
        <v>5.6300000000000003E-2</v>
      </c>
      <c r="AM7" s="2">
        <f>B7/$AK$7</f>
        <v>3978.6856127886322</v>
      </c>
      <c r="AN7" s="2">
        <f t="shared" si="0"/>
        <v>10421940.928270042</v>
      </c>
      <c r="AO7" s="2">
        <f t="shared" si="0"/>
        <v>1000</v>
      </c>
      <c r="AP7" s="2">
        <f t="shared" si="0"/>
        <v>784.81012658227849</v>
      </c>
      <c r="AQ7" s="2">
        <f t="shared" si="0"/>
        <v>1265822.7848101268</v>
      </c>
      <c r="AR7" s="2">
        <f t="shared" si="0"/>
        <v>852.32067510548529</v>
      </c>
      <c r="AS7" s="2">
        <f t="shared" si="0"/>
        <v>13206751.054852322</v>
      </c>
      <c r="AT7" s="2">
        <f t="shared" si="0"/>
        <v>1261603.3755274261</v>
      </c>
      <c r="AU7" s="2">
        <f t="shared" si="0"/>
        <v>16202531.645569621</v>
      </c>
      <c r="AV7" s="2">
        <f t="shared" si="0"/>
        <v>7257383.9662447264</v>
      </c>
      <c r="AW7" s="2">
        <f t="shared" si="0"/>
        <v>894.51476793248946</v>
      </c>
      <c r="AX7" s="2">
        <f t="shared" si="0"/>
        <v>10590717.299578059</v>
      </c>
      <c r="AY7" s="2">
        <f t="shared" si="0"/>
        <v>1278481.0126582279</v>
      </c>
      <c r="AZ7" s="2">
        <f t="shared" si="0"/>
        <v>10970464.135021098</v>
      </c>
      <c r="BA7" s="2">
        <f t="shared" si="0"/>
        <v>679324.89451476792</v>
      </c>
      <c r="BB7" s="2">
        <f t="shared" si="0"/>
        <v>14978902.953586498</v>
      </c>
      <c r="BC7" s="2">
        <f t="shared" si="0"/>
        <v>8691983.1223628689</v>
      </c>
      <c r="BD7" s="2">
        <f t="shared" si="0"/>
        <v>10675105.485232068</v>
      </c>
      <c r="BE7" s="2">
        <f t="shared" si="0"/>
        <v>1265822.7848101268</v>
      </c>
      <c r="BF7" s="2">
        <f t="shared" si="0"/>
        <v>995780.59071729961</v>
      </c>
      <c r="BG7" s="2">
        <f t="shared" si="0"/>
        <v>928270.04219409288</v>
      </c>
      <c r="BH7" s="2">
        <f t="shared" si="0"/>
        <v>742616.03375527426</v>
      </c>
      <c r="BI7" s="2">
        <f t="shared" si="0"/>
        <v>949.36708860759495</v>
      </c>
      <c r="BJ7" s="2">
        <f t="shared" si="0"/>
        <v>670886.07594936714</v>
      </c>
      <c r="BK7" s="2">
        <f t="shared" si="0"/>
        <v>632911.39240506338</v>
      </c>
      <c r="BL7" s="2">
        <f t="shared" si="0"/>
        <v>1016877.6371308017</v>
      </c>
      <c r="BM7" s="2">
        <f t="shared" si="0"/>
        <v>1244725.7383966246</v>
      </c>
      <c r="BN7" s="2">
        <f t="shared" si="0"/>
        <v>7468354.4303797474</v>
      </c>
      <c r="BO7" s="2">
        <f t="shared" si="0"/>
        <v>7130801.6877637133</v>
      </c>
      <c r="BP7" s="2">
        <f t="shared" si="0"/>
        <v>7721518.9873417728</v>
      </c>
      <c r="BQ7" s="2">
        <f t="shared" si="0"/>
        <v>1333333.3333333335</v>
      </c>
      <c r="BR7" s="2">
        <f t="shared" si="0"/>
        <v>6793248.9451476801</v>
      </c>
      <c r="BS7" s="2">
        <f t="shared" si="0"/>
        <v>6286919.8312236294</v>
      </c>
      <c r="BT7" s="2">
        <f t="shared" si="0"/>
        <v>6160337.5527426163</v>
      </c>
      <c r="BU7" s="2">
        <f t="shared" si="0"/>
        <v>12573839.662447259</v>
      </c>
    </row>
    <row r="8" spans="1:73" x14ac:dyDescent="0.2">
      <c r="A8" t="s">
        <v>43</v>
      </c>
      <c r="B8">
        <v>756</v>
      </c>
      <c r="C8">
        <v>4710000</v>
      </c>
      <c r="D8">
        <v>662</v>
      </c>
      <c r="E8">
        <v>610</v>
      </c>
      <c r="F8">
        <v>97000</v>
      </c>
      <c r="G8">
        <v>533</v>
      </c>
      <c r="H8">
        <v>6020000</v>
      </c>
      <c r="I8">
        <v>95000</v>
      </c>
      <c r="J8">
        <v>7470000</v>
      </c>
      <c r="K8">
        <v>5180000</v>
      </c>
      <c r="L8">
        <v>574</v>
      </c>
      <c r="M8">
        <v>4760000</v>
      </c>
      <c r="N8">
        <v>3680000</v>
      </c>
      <c r="O8">
        <v>4970000</v>
      </c>
      <c r="P8">
        <v>1980000</v>
      </c>
      <c r="Q8">
        <v>6670000</v>
      </c>
      <c r="R8">
        <v>7120000</v>
      </c>
      <c r="S8">
        <v>6190000</v>
      </c>
      <c r="T8">
        <v>98000</v>
      </c>
      <c r="U8">
        <v>3110000</v>
      </c>
      <c r="V8">
        <v>2650000</v>
      </c>
      <c r="W8">
        <v>2170000</v>
      </c>
      <c r="X8">
        <v>789</v>
      </c>
      <c r="Y8">
        <v>3450000</v>
      </c>
      <c r="Z8">
        <v>3330000</v>
      </c>
      <c r="AA8">
        <v>2340000</v>
      </c>
      <c r="AB8">
        <v>95000</v>
      </c>
      <c r="AC8">
        <v>6330000</v>
      </c>
      <c r="AD8">
        <v>5830000</v>
      </c>
      <c r="AE8">
        <v>6110000</v>
      </c>
      <c r="AF8">
        <v>103000</v>
      </c>
      <c r="AG8">
        <v>5540000</v>
      </c>
      <c r="AH8">
        <v>4560000</v>
      </c>
      <c r="AI8">
        <v>4910000</v>
      </c>
      <c r="AJ8">
        <v>6220000</v>
      </c>
      <c r="AK8" s="3">
        <v>0.19900000000000001</v>
      </c>
      <c r="AM8" s="2">
        <f>B8/$AK$8</f>
        <v>3798.9949748743716</v>
      </c>
      <c r="AN8" s="2">
        <f t="shared" si="0"/>
        <v>19873417.72151899</v>
      </c>
      <c r="AO8" s="2">
        <f t="shared" si="0"/>
        <v>2793.2489451476795</v>
      </c>
      <c r="AP8" s="2">
        <f t="shared" si="0"/>
        <v>2573.8396624472575</v>
      </c>
      <c r="AQ8" s="2">
        <f t="shared" si="0"/>
        <v>409282.70042194094</v>
      </c>
      <c r="AR8" s="2">
        <f t="shared" si="0"/>
        <v>2248.9451476793251</v>
      </c>
      <c r="AS8" s="2">
        <f t="shared" si="0"/>
        <v>25400843.881856542</v>
      </c>
      <c r="AT8" s="2">
        <f t="shared" si="0"/>
        <v>400843.8818565401</v>
      </c>
      <c r="AU8" s="2">
        <f t="shared" si="0"/>
        <v>31518987.341772154</v>
      </c>
      <c r="AV8" s="2">
        <f t="shared" si="0"/>
        <v>21856540.084388185</v>
      </c>
      <c r="AW8" s="2">
        <f t="shared" si="0"/>
        <v>2421.9409282700421</v>
      </c>
      <c r="AX8" s="2">
        <f t="shared" si="0"/>
        <v>20084388.185654011</v>
      </c>
      <c r="AY8" s="2">
        <f t="shared" si="0"/>
        <v>15527426.160337554</v>
      </c>
      <c r="AZ8" s="2">
        <f t="shared" si="0"/>
        <v>20970464.135021098</v>
      </c>
      <c r="BA8" s="2">
        <f t="shared" si="0"/>
        <v>8354430.3797468357</v>
      </c>
      <c r="BB8" s="2">
        <f t="shared" si="0"/>
        <v>28143459.915611815</v>
      </c>
      <c r="BC8" s="2">
        <f t="shared" si="0"/>
        <v>30042194.092827007</v>
      </c>
      <c r="BD8" s="2">
        <f t="shared" si="0"/>
        <v>26118143.459915612</v>
      </c>
      <c r="BE8" s="2">
        <f t="shared" si="0"/>
        <v>413502.10970464139</v>
      </c>
      <c r="BF8" s="2">
        <f t="shared" si="0"/>
        <v>13122362.869198313</v>
      </c>
      <c r="BG8" s="2">
        <f t="shared" si="0"/>
        <v>11181434.599156119</v>
      </c>
      <c r="BH8" s="2">
        <f t="shared" si="0"/>
        <v>9156118.1434599161</v>
      </c>
      <c r="BI8" s="2">
        <f t="shared" si="0"/>
        <v>3329.1139240506332</v>
      </c>
      <c r="BJ8" s="2">
        <f t="shared" si="0"/>
        <v>14556962.025316456</v>
      </c>
      <c r="BK8" s="2">
        <f t="shared" si="0"/>
        <v>14050632.911392406</v>
      </c>
      <c r="BL8" s="2">
        <f t="shared" si="0"/>
        <v>9873417.7215189878</v>
      </c>
      <c r="BM8" s="2">
        <f t="shared" si="0"/>
        <v>400843.8818565401</v>
      </c>
      <c r="BN8" s="2">
        <f t="shared" si="0"/>
        <v>26708860.759493671</v>
      </c>
      <c r="BO8" s="2">
        <f t="shared" si="0"/>
        <v>24599156.118143462</v>
      </c>
      <c r="BP8" s="2">
        <f t="shared" si="0"/>
        <v>25780590.717299581</v>
      </c>
      <c r="BQ8" s="2">
        <f t="shared" si="0"/>
        <v>434599.15611814347</v>
      </c>
      <c r="BR8" s="2">
        <f t="shared" si="0"/>
        <v>23375527.426160339</v>
      </c>
      <c r="BS8" s="2">
        <f t="shared" si="0"/>
        <v>19240506.329113927</v>
      </c>
      <c r="BT8" s="2">
        <f t="shared" si="0"/>
        <v>20717299.578059074</v>
      </c>
      <c r="BU8" s="2">
        <f t="shared" si="0"/>
        <v>26244725.738396626</v>
      </c>
    </row>
    <row r="9" spans="1:73" x14ac:dyDescent="0.2">
      <c r="A9" t="s">
        <v>44</v>
      </c>
      <c r="B9">
        <v>1750</v>
      </c>
      <c r="C9">
        <v>3590000</v>
      </c>
      <c r="D9">
        <v>1690</v>
      </c>
      <c r="E9">
        <v>1540</v>
      </c>
      <c r="F9">
        <v>625000</v>
      </c>
      <c r="G9">
        <v>1310</v>
      </c>
      <c r="H9">
        <v>4550000</v>
      </c>
      <c r="I9">
        <v>621000</v>
      </c>
      <c r="J9">
        <v>5480000</v>
      </c>
      <c r="K9">
        <v>2990000</v>
      </c>
      <c r="L9">
        <v>1440</v>
      </c>
      <c r="M9">
        <v>3650000</v>
      </c>
      <c r="N9">
        <v>864000</v>
      </c>
      <c r="O9">
        <v>3820000</v>
      </c>
      <c r="P9">
        <v>458000</v>
      </c>
      <c r="Q9">
        <v>5020000</v>
      </c>
      <c r="R9">
        <v>4650000</v>
      </c>
      <c r="S9">
        <v>4690000</v>
      </c>
      <c r="T9">
        <v>636000</v>
      </c>
      <c r="U9">
        <v>733000</v>
      </c>
      <c r="V9">
        <v>596000</v>
      </c>
      <c r="W9">
        <v>508000</v>
      </c>
      <c r="X9">
        <v>1860</v>
      </c>
      <c r="Y9">
        <v>1131000</v>
      </c>
      <c r="Z9">
        <v>1080000</v>
      </c>
      <c r="AA9">
        <v>590000</v>
      </c>
      <c r="AB9">
        <v>613000</v>
      </c>
      <c r="AC9">
        <v>3950000</v>
      </c>
      <c r="AD9">
        <v>3500000</v>
      </c>
      <c r="AE9">
        <v>3560000</v>
      </c>
      <c r="AF9">
        <v>670000</v>
      </c>
      <c r="AG9">
        <v>3110000</v>
      </c>
      <c r="AH9">
        <v>2600000</v>
      </c>
      <c r="AI9">
        <v>3000000</v>
      </c>
      <c r="AJ9">
        <v>4650000</v>
      </c>
      <c r="AK9" s="3">
        <v>3.61E-2</v>
      </c>
      <c r="AM9" s="2">
        <f>B9/$AK$9</f>
        <v>48476.454293628805</v>
      </c>
      <c r="AN9" s="2">
        <f t="shared" si="0"/>
        <v>15147679.324894516</v>
      </c>
      <c r="AO9" s="2">
        <f t="shared" si="0"/>
        <v>7130.8016877637137</v>
      </c>
      <c r="AP9" s="2">
        <f t="shared" si="0"/>
        <v>6497.8902953586503</v>
      </c>
      <c r="AQ9" s="2">
        <f t="shared" si="0"/>
        <v>2637130.801687764</v>
      </c>
      <c r="AR9" s="2">
        <f t="shared" si="0"/>
        <v>5527.4261603375526</v>
      </c>
      <c r="AS9" s="2">
        <f t="shared" si="0"/>
        <v>19198312.23628692</v>
      </c>
      <c r="AT9" s="2">
        <f t="shared" si="0"/>
        <v>2620253.164556962</v>
      </c>
      <c r="AU9" s="2">
        <f t="shared" si="0"/>
        <v>23122362.869198315</v>
      </c>
      <c r="AV9" s="2">
        <f t="shared" si="0"/>
        <v>12616033.755274262</v>
      </c>
      <c r="AW9" s="2">
        <f t="shared" si="0"/>
        <v>6075.9493670886077</v>
      </c>
      <c r="AX9" s="2">
        <f t="shared" si="0"/>
        <v>15400843.88185654</v>
      </c>
      <c r="AY9" s="2">
        <f t="shared" si="0"/>
        <v>3645569.6202531648</v>
      </c>
      <c r="AZ9" s="2">
        <f t="shared" si="0"/>
        <v>16118143.459915612</v>
      </c>
      <c r="BA9" s="2">
        <f t="shared" si="0"/>
        <v>1932489.4514767933</v>
      </c>
      <c r="BB9" s="2">
        <f t="shared" si="0"/>
        <v>21181434.599156119</v>
      </c>
      <c r="BC9" s="2">
        <f t="shared" si="0"/>
        <v>19620253.164556962</v>
      </c>
      <c r="BD9" s="2">
        <f t="shared" si="0"/>
        <v>19789029.535864979</v>
      </c>
      <c r="BE9" s="2">
        <f t="shared" ref="BE9:BE14" si="1">T9/$AK$2</f>
        <v>2683544.3037974685</v>
      </c>
      <c r="BF9" s="2">
        <f t="shared" ref="BF9:BF14" si="2">U9/$AK$2</f>
        <v>3092827.0042194095</v>
      </c>
      <c r="BG9" s="2">
        <f t="shared" ref="BG9:BG14" si="3">V9/$AK$2</f>
        <v>2514767.9324894515</v>
      </c>
      <c r="BH9" s="2">
        <f t="shared" ref="BH9:BH14" si="4">W9/$AK$2</f>
        <v>2143459.9156118142</v>
      </c>
      <c r="BI9" s="2">
        <f t="shared" ref="BI9:BI14" si="5">X9/$AK$2</f>
        <v>7848.1012658227855</v>
      </c>
      <c r="BJ9" s="2">
        <f t="shared" ref="BJ9:BJ14" si="6">Y9/$AK$2</f>
        <v>4772151.8987341775</v>
      </c>
      <c r="BK9" s="2">
        <f t="shared" ref="BK9:BK14" si="7">Z9/$AK$2</f>
        <v>4556962.0253164563</v>
      </c>
      <c r="BL9" s="2">
        <f t="shared" ref="BL9:BL14" si="8">AA9/$AK$2</f>
        <v>2489451.4767932491</v>
      </c>
      <c r="BM9" s="2">
        <f t="shared" ref="BM9:BM14" si="9">AB9/$AK$2</f>
        <v>2586497.8902953588</v>
      </c>
      <c r="BN9" s="2">
        <f t="shared" ref="BN9:BN14" si="10">AC9/$AK$2</f>
        <v>16666666.666666668</v>
      </c>
      <c r="BO9" s="2">
        <f t="shared" ref="BO9:BO14" si="11">AD9/$AK$2</f>
        <v>14767932.489451477</v>
      </c>
      <c r="BP9" s="2">
        <f t="shared" ref="BP9:BP14" si="12">AE9/$AK$2</f>
        <v>15021097.046413504</v>
      </c>
      <c r="BQ9" s="2">
        <f t="shared" ref="BQ9:BQ14" si="13">AF9/$AK$2</f>
        <v>2827004.2194092828</v>
      </c>
      <c r="BR9" s="2">
        <f t="shared" ref="BR9:BR14" si="14">AG9/$AK$2</f>
        <v>13122362.869198313</v>
      </c>
      <c r="BS9" s="2">
        <f t="shared" ref="BS9:BS14" si="15">AH9/$AK$2</f>
        <v>10970464.135021098</v>
      </c>
      <c r="BT9" s="2">
        <f t="shared" ref="BT9:BT14" si="16">AI9/$AK$2</f>
        <v>12658227.848101266</v>
      </c>
      <c r="BU9" s="2">
        <f t="shared" ref="BU9:BU14" si="17">AJ9/$AK$2</f>
        <v>19620253.164556962</v>
      </c>
    </row>
    <row r="10" spans="1:73" x14ac:dyDescent="0.2">
      <c r="A10" t="s">
        <v>45</v>
      </c>
      <c r="B10">
        <v>5940</v>
      </c>
      <c r="C10">
        <v>3650000</v>
      </c>
      <c r="D10">
        <v>5620</v>
      </c>
      <c r="E10">
        <v>5070</v>
      </c>
      <c r="F10">
        <v>150000</v>
      </c>
      <c r="G10">
        <v>4580</v>
      </c>
      <c r="H10">
        <v>4730000</v>
      </c>
      <c r="I10">
        <v>150000</v>
      </c>
      <c r="J10">
        <v>5560000</v>
      </c>
      <c r="K10">
        <v>2650000</v>
      </c>
      <c r="L10">
        <v>4740</v>
      </c>
      <c r="M10">
        <v>3750000</v>
      </c>
      <c r="N10">
        <v>304000</v>
      </c>
      <c r="O10">
        <v>3930000</v>
      </c>
      <c r="P10">
        <v>178000</v>
      </c>
      <c r="Q10">
        <v>5030000</v>
      </c>
      <c r="R10">
        <v>4180000</v>
      </c>
      <c r="S10">
        <v>4880000</v>
      </c>
      <c r="T10">
        <v>153000</v>
      </c>
      <c r="U10">
        <v>256000</v>
      </c>
      <c r="V10">
        <v>209000</v>
      </c>
      <c r="W10">
        <v>200000</v>
      </c>
      <c r="X10">
        <v>5970</v>
      </c>
      <c r="Y10">
        <v>583000</v>
      </c>
      <c r="Z10">
        <v>534000</v>
      </c>
      <c r="AA10">
        <v>234000</v>
      </c>
      <c r="AB10">
        <v>144000</v>
      </c>
      <c r="AC10">
        <v>3710000</v>
      </c>
      <c r="AD10">
        <v>3000000</v>
      </c>
      <c r="AE10">
        <v>3200000</v>
      </c>
      <c r="AF10">
        <v>159000</v>
      </c>
      <c r="AG10">
        <v>2790000</v>
      </c>
      <c r="AH10">
        <v>2350000</v>
      </c>
      <c r="AI10">
        <v>2840000</v>
      </c>
      <c r="AJ10">
        <v>4710000</v>
      </c>
      <c r="AK10" s="3">
        <v>0.246</v>
      </c>
      <c r="AM10" s="2">
        <f>B10/$AK$10</f>
        <v>24146.341463414636</v>
      </c>
      <c r="AN10" s="2">
        <f t="shared" ref="AN10:AN14" si="18">C10/$AK$2</f>
        <v>15400843.88185654</v>
      </c>
      <c r="AO10" s="2">
        <f t="shared" ref="AO10:AO14" si="19">D10/$AK$2</f>
        <v>23713.080168776374</v>
      </c>
      <c r="AP10" s="2">
        <f t="shared" ref="AP10:AP14" si="20">E10/$AK$2</f>
        <v>21392.405063291139</v>
      </c>
      <c r="AQ10" s="2">
        <f t="shared" ref="AQ10:AQ14" si="21">F10/$AK$2</f>
        <v>632911.39240506338</v>
      </c>
      <c r="AR10" s="2">
        <f t="shared" ref="AR10:AR14" si="22">G10/$AK$2</f>
        <v>19324.894514767933</v>
      </c>
      <c r="AS10" s="2">
        <f t="shared" ref="AS10:AS14" si="23">H10/$AK$2</f>
        <v>19957805.907172997</v>
      </c>
      <c r="AT10" s="2">
        <f t="shared" ref="AT10:AT14" si="24">I10/$AK$2</f>
        <v>632911.39240506338</v>
      </c>
      <c r="AU10" s="2">
        <f t="shared" ref="AU10:AU14" si="25">J10/$AK$2</f>
        <v>23459915.611814346</v>
      </c>
      <c r="AV10" s="2">
        <f t="shared" ref="AV10:AV14" si="26">K10/$AK$2</f>
        <v>11181434.599156119</v>
      </c>
      <c r="AW10" s="2">
        <f t="shared" ref="AW10:AW14" si="27">L10/$AK$2</f>
        <v>20000</v>
      </c>
      <c r="AX10" s="2">
        <f t="shared" ref="AX10:AX14" si="28">M10/$AK$2</f>
        <v>15822784.810126582</v>
      </c>
      <c r="AY10" s="2">
        <f t="shared" ref="AY10:AY14" si="29">N10/$AK$2</f>
        <v>1282700.4219409283</v>
      </c>
      <c r="AZ10" s="2">
        <f t="shared" ref="AZ10:AZ14" si="30">O10/$AK$2</f>
        <v>16582278.481012659</v>
      </c>
      <c r="BA10" s="2">
        <f t="shared" ref="BA10:BA14" si="31">P10/$AK$2</f>
        <v>751054.85232067516</v>
      </c>
      <c r="BB10" s="2">
        <f t="shared" ref="BB10:BB14" si="32">Q10/$AK$2</f>
        <v>21223628.691983122</v>
      </c>
      <c r="BC10" s="2">
        <f t="shared" ref="BC10:BC14" si="33">R10/$AK$2</f>
        <v>17637130.801687766</v>
      </c>
      <c r="BD10" s="2">
        <f t="shared" ref="BD10:BD14" si="34">S10/$AK$2</f>
        <v>20590717.299578059</v>
      </c>
      <c r="BE10" s="2">
        <f t="shared" si="1"/>
        <v>645569.62025316455</v>
      </c>
      <c r="BF10" s="2">
        <f t="shared" si="2"/>
        <v>1080168.7763713081</v>
      </c>
      <c r="BG10" s="2">
        <f t="shared" si="3"/>
        <v>881856.54008438822</v>
      </c>
      <c r="BH10" s="2">
        <f t="shared" si="4"/>
        <v>843881.85654008447</v>
      </c>
      <c r="BI10" s="2">
        <f t="shared" si="5"/>
        <v>25189.873417721519</v>
      </c>
      <c r="BJ10" s="2">
        <f t="shared" si="6"/>
        <v>2459915.6118143462</v>
      </c>
      <c r="BK10" s="2">
        <f t="shared" si="7"/>
        <v>2253164.5569620254</v>
      </c>
      <c r="BL10" s="2">
        <f t="shared" si="8"/>
        <v>987341.77215189883</v>
      </c>
      <c r="BM10" s="2">
        <f t="shared" si="9"/>
        <v>607594.9367088608</v>
      </c>
      <c r="BN10" s="2">
        <f t="shared" si="10"/>
        <v>15654008.438818567</v>
      </c>
      <c r="BO10" s="2">
        <f t="shared" si="11"/>
        <v>12658227.848101266</v>
      </c>
      <c r="BP10" s="2">
        <f t="shared" si="12"/>
        <v>13502109.704641351</v>
      </c>
      <c r="BQ10" s="2">
        <f t="shared" si="13"/>
        <v>670886.07594936714</v>
      </c>
      <c r="BR10" s="2">
        <f t="shared" si="14"/>
        <v>11772151.898734178</v>
      </c>
      <c r="BS10" s="2">
        <f t="shared" si="15"/>
        <v>9915611.8143459912</v>
      </c>
      <c r="BT10" s="2">
        <f t="shared" si="16"/>
        <v>11983122.362869199</v>
      </c>
      <c r="BU10" s="2">
        <f t="shared" si="17"/>
        <v>19873417.72151899</v>
      </c>
    </row>
    <row r="11" spans="1:73" x14ac:dyDescent="0.2">
      <c r="A11" t="s">
        <v>46</v>
      </c>
      <c r="B11">
        <v>9700</v>
      </c>
      <c r="C11">
        <v>1790000</v>
      </c>
      <c r="D11">
        <v>9500</v>
      </c>
      <c r="E11">
        <v>8330</v>
      </c>
      <c r="F11">
        <v>614000</v>
      </c>
      <c r="G11">
        <v>7310</v>
      </c>
      <c r="H11">
        <v>2320000</v>
      </c>
      <c r="I11">
        <v>613000</v>
      </c>
      <c r="J11">
        <v>2690000</v>
      </c>
      <c r="K11">
        <v>1320000</v>
      </c>
      <c r="L11">
        <v>8110</v>
      </c>
      <c r="M11">
        <v>1860000</v>
      </c>
      <c r="N11">
        <v>70900</v>
      </c>
      <c r="O11">
        <v>1930000</v>
      </c>
      <c r="P11">
        <v>46000</v>
      </c>
      <c r="Q11">
        <v>2450000</v>
      </c>
      <c r="R11">
        <v>2040000</v>
      </c>
      <c r="S11">
        <v>2430000</v>
      </c>
      <c r="T11">
        <v>624000</v>
      </c>
      <c r="U11">
        <v>56600</v>
      </c>
      <c r="V11">
        <v>47900</v>
      </c>
      <c r="W11">
        <v>52300</v>
      </c>
      <c r="X11">
        <v>9900</v>
      </c>
      <c r="Y11">
        <v>175000</v>
      </c>
      <c r="Z11">
        <v>149000</v>
      </c>
      <c r="AA11">
        <v>55100</v>
      </c>
      <c r="AB11">
        <v>601000</v>
      </c>
      <c r="AC11">
        <v>1910000</v>
      </c>
      <c r="AD11">
        <v>1500000</v>
      </c>
      <c r="AE11">
        <v>1540000</v>
      </c>
      <c r="AF11">
        <v>648000</v>
      </c>
      <c r="AG11">
        <v>1370000</v>
      </c>
      <c r="AH11">
        <v>1160000</v>
      </c>
      <c r="AI11">
        <v>1490000</v>
      </c>
      <c r="AJ11">
        <v>2300000</v>
      </c>
      <c r="AK11" s="3">
        <v>5.4600000000000003E-2</v>
      </c>
      <c r="AM11" s="2">
        <f>B11/$AK$11</f>
        <v>177655.67765567766</v>
      </c>
      <c r="AN11" s="2">
        <f t="shared" si="18"/>
        <v>7552742.6160337552</v>
      </c>
      <c r="AO11" s="2">
        <f t="shared" si="19"/>
        <v>40084.38818565401</v>
      </c>
      <c r="AP11" s="2">
        <f t="shared" si="20"/>
        <v>35147.679324894518</v>
      </c>
      <c r="AQ11" s="2">
        <f t="shared" si="21"/>
        <v>2590717.299578059</v>
      </c>
      <c r="AR11" s="2">
        <f t="shared" si="22"/>
        <v>30843.881856540087</v>
      </c>
      <c r="AS11" s="2">
        <f t="shared" si="23"/>
        <v>9789029.535864979</v>
      </c>
      <c r="AT11" s="2">
        <f t="shared" si="24"/>
        <v>2586497.8902953588</v>
      </c>
      <c r="AU11" s="2">
        <f t="shared" si="25"/>
        <v>11350210.970464136</v>
      </c>
      <c r="AV11" s="2">
        <f t="shared" si="26"/>
        <v>5569620.2531645568</v>
      </c>
      <c r="AW11" s="2">
        <f t="shared" si="27"/>
        <v>34219.409282700421</v>
      </c>
      <c r="AX11" s="2">
        <f t="shared" si="28"/>
        <v>7848101.265822785</v>
      </c>
      <c r="AY11" s="2">
        <f t="shared" si="29"/>
        <v>299156.11814345996</v>
      </c>
      <c r="AZ11" s="2">
        <f t="shared" si="30"/>
        <v>8143459.9156118147</v>
      </c>
      <c r="BA11" s="2">
        <f t="shared" si="31"/>
        <v>194092.82700421941</v>
      </c>
      <c r="BB11" s="2">
        <f t="shared" si="32"/>
        <v>10337552.742616035</v>
      </c>
      <c r="BC11" s="2">
        <f t="shared" si="33"/>
        <v>8607594.936708862</v>
      </c>
      <c r="BD11" s="2">
        <f t="shared" si="34"/>
        <v>10253164.556962026</v>
      </c>
      <c r="BE11" s="2">
        <f t="shared" si="1"/>
        <v>2632911.3924050634</v>
      </c>
      <c r="BF11" s="2">
        <f t="shared" si="2"/>
        <v>238818.56540084389</v>
      </c>
      <c r="BG11" s="2">
        <f t="shared" si="3"/>
        <v>202109.70464135022</v>
      </c>
      <c r="BH11" s="2">
        <f t="shared" si="4"/>
        <v>220675.10548523208</v>
      </c>
      <c r="BI11" s="2">
        <f t="shared" si="5"/>
        <v>41772.151898734177</v>
      </c>
      <c r="BJ11" s="2">
        <f t="shared" si="6"/>
        <v>738396.62447257387</v>
      </c>
      <c r="BK11" s="2">
        <f t="shared" si="7"/>
        <v>628691.98312236287</v>
      </c>
      <c r="BL11" s="2">
        <f t="shared" si="8"/>
        <v>232489.45147679327</v>
      </c>
      <c r="BM11" s="2">
        <f t="shared" si="9"/>
        <v>2535864.9789029537</v>
      </c>
      <c r="BN11" s="2">
        <f t="shared" si="10"/>
        <v>8059071.7299578059</v>
      </c>
      <c r="BO11" s="2">
        <f t="shared" si="11"/>
        <v>6329113.9240506329</v>
      </c>
      <c r="BP11" s="2">
        <f t="shared" si="12"/>
        <v>6497890.2953586504</v>
      </c>
      <c r="BQ11" s="2">
        <f t="shared" si="13"/>
        <v>2734177.2151898737</v>
      </c>
      <c r="BR11" s="2">
        <f t="shared" si="14"/>
        <v>5780590.7172995787</v>
      </c>
      <c r="BS11" s="2">
        <f t="shared" si="15"/>
        <v>4894514.7679324895</v>
      </c>
      <c r="BT11" s="2">
        <f t="shared" si="16"/>
        <v>6286919.8312236294</v>
      </c>
      <c r="BU11" s="2">
        <f t="shared" si="17"/>
        <v>9704641.3502109703</v>
      </c>
    </row>
    <row r="12" spans="1:73" x14ac:dyDescent="0.2">
      <c r="A12" t="s">
        <v>47</v>
      </c>
      <c r="B12">
        <v>17900</v>
      </c>
      <c r="C12">
        <v>958000</v>
      </c>
      <c r="D12">
        <v>17300</v>
      </c>
      <c r="E12">
        <v>15400</v>
      </c>
      <c r="F12">
        <v>204000</v>
      </c>
      <c r="G12">
        <v>14100</v>
      </c>
      <c r="H12">
        <v>1240000</v>
      </c>
      <c r="I12">
        <v>205000</v>
      </c>
      <c r="J12">
        <v>1460000</v>
      </c>
      <c r="K12">
        <v>686000</v>
      </c>
      <c r="L12">
        <v>14800</v>
      </c>
      <c r="M12">
        <v>1028000</v>
      </c>
      <c r="N12">
        <v>25300</v>
      </c>
      <c r="O12">
        <v>1041000</v>
      </c>
      <c r="P12">
        <v>17400</v>
      </c>
      <c r="Q12">
        <v>1370000</v>
      </c>
      <c r="R12">
        <v>1080000</v>
      </c>
      <c r="S12">
        <v>1290000</v>
      </c>
      <c r="T12">
        <v>208000</v>
      </c>
      <c r="U12">
        <v>18900</v>
      </c>
      <c r="V12">
        <v>16400</v>
      </c>
      <c r="W12">
        <v>19500</v>
      </c>
      <c r="X12">
        <v>18400</v>
      </c>
      <c r="Y12">
        <v>63900</v>
      </c>
      <c r="Z12">
        <v>52600</v>
      </c>
      <c r="AA12">
        <v>17400</v>
      </c>
      <c r="AB12">
        <v>200000</v>
      </c>
      <c r="AC12">
        <v>1000000</v>
      </c>
      <c r="AD12">
        <v>774000</v>
      </c>
      <c r="AE12">
        <v>830000</v>
      </c>
      <c r="AF12">
        <v>218000</v>
      </c>
      <c r="AG12">
        <v>731000</v>
      </c>
      <c r="AH12">
        <v>607000</v>
      </c>
      <c r="AI12">
        <v>794000</v>
      </c>
      <c r="AJ12">
        <v>1230000</v>
      </c>
      <c r="AK12" s="3">
        <v>0.16</v>
      </c>
      <c r="AM12" s="2">
        <f>B12/$AK$12</f>
        <v>111875</v>
      </c>
      <c r="AN12" s="2">
        <f t="shared" si="18"/>
        <v>4042194.0928270044</v>
      </c>
      <c r="AO12" s="2">
        <f t="shared" si="19"/>
        <v>72995.780590717302</v>
      </c>
      <c r="AP12" s="2">
        <f t="shared" si="20"/>
        <v>64978.902953586497</v>
      </c>
      <c r="AQ12" s="2">
        <f t="shared" si="21"/>
        <v>860759.49367088615</v>
      </c>
      <c r="AR12" s="2">
        <f t="shared" si="22"/>
        <v>59493.670886075954</v>
      </c>
      <c r="AS12" s="2">
        <f t="shared" si="23"/>
        <v>5232067.5105485236</v>
      </c>
      <c r="AT12" s="2">
        <f t="shared" si="24"/>
        <v>864978.90295358654</v>
      </c>
      <c r="AU12" s="2">
        <f t="shared" si="25"/>
        <v>6160337.5527426163</v>
      </c>
      <c r="AV12" s="2">
        <f t="shared" si="26"/>
        <v>2894514.7679324895</v>
      </c>
      <c r="AW12" s="2">
        <f t="shared" si="27"/>
        <v>62447.257383966251</v>
      </c>
      <c r="AX12" s="2">
        <f t="shared" si="28"/>
        <v>4337552.7426160341</v>
      </c>
      <c r="AY12" s="2">
        <f t="shared" si="29"/>
        <v>106751.05485232068</v>
      </c>
      <c r="AZ12" s="2">
        <f t="shared" si="30"/>
        <v>4392405.0632911399</v>
      </c>
      <c r="BA12" s="2">
        <f t="shared" si="31"/>
        <v>73417.721518987339</v>
      </c>
      <c r="BB12" s="2">
        <f t="shared" si="32"/>
        <v>5780590.7172995787</v>
      </c>
      <c r="BC12" s="2">
        <f t="shared" si="33"/>
        <v>4556962.0253164563</v>
      </c>
      <c r="BD12" s="2">
        <f t="shared" si="34"/>
        <v>5443037.9746835446</v>
      </c>
      <c r="BE12" s="2">
        <f t="shared" si="1"/>
        <v>877637.13080168783</v>
      </c>
      <c r="BF12" s="2">
        <f t="shared" si="2"/>
        <v>79746.835443037984</v>
      </c>
      <c r="BG12" s="2">
        <f t="shared" si="3"/>
        <v>69198.312236286918</v>
      </c>
      <c r="BH12" s="2">
        <f t="shared" si="4"/>
        <v>82278.481012658231</v>
      </c>
      <c r="BI12" s="2">
        <f t="shared" si="5"/>
        <v>77637.130801687774</v>
      </c>
      <c r="BJ12" s="2">
        <f t="shared" si="6"/>
        <v>269620.25316455698</v>
      </c>
      <c r="BK12" s="2">
        <f t="shared" si="7"/>
        <v>221940.9282700422</v>
      </c>
      <c r="BL12" s="2">
        <f t="shared" si="8"/>
        <v>73417.721518987339</v>
      </c>
      <c r="BM12" s="2">
        <f t="shared" si="9"/>
        <v>843881.85654008447</v>
      </c>
      <c r="BN12" s="2">
        <f t="shared" si="10"/>
        <v>4219409.2827004222</v>
      </c>
      <c r="BO12" s="2">
        <f t="shared" si="11"/>
        <v>3265822.7848101268</v>
      </c>
      <c r="BP12" s="2">
        <f t="shared" si="12"/>
        <v>3502109.7046413505</v>
      </c>
      <c r="BQ12" s="2">
        <f t="shared" si="13"/>
        <v>919831.22362869198</v>
      </c>
      <c r="BR12" s="2">
        <f t="shared" si="14"/>
        <v>3084388.1856540088</v>
      </c>
      <c r="BS12" s="2">
        <f t="shared" si="15"/>
        <v>2561181.434599156</v>
      </c>
      <c r="BT12" s="2">
        <f t="shared" si="16"/>
        <v>3350210.9704641351</v>
      </c>
      <c r="BU12" s="2">
        <f t="shared" si="17"/>
        <v>5189873.4177215192</v>
      </c>
    </row>
    <row r="13" spans="1:73" x14ac:dyDescent="0.2">
      <c r="A13" t="s">
        <v>48</v>
      </c>
      <c r="B13">
        <v>13200</v>
      </c>
      <c r="C13">
        <v>223000</v>
      </c>
      <c r="D13">
        <v>12800</v>
      </c>
      <c r="E13">
        <v>11300</v>
      </c>
      <c r="F13">
        <v>592000</v>
      </c>
      <c r="G13">
        <v>10200</v>
      </c>
      <c r="H13">
        <v>286000</v>
      </c>
      <c r="I13">
        <v>601000</v>
      </c>
      <c r="J13">
        <v>351000</v>
      </c>
      <c r="K13">
        <v>143000</v>
      </c>
      <c r="L13">
        <v>11000</v>
      </c>
      <c r="M13">
        <v>239000</v>
      </c>
      <c r="N13">
        <v>4160</v>
      </c>
      <c r="O13">
        <v>241000</v>
      </c>
      <c r="P13">
        <v>2940</v>
      </c>
      <c r="Q13">
        <v>334000</v>
      </c>
      <c r="R13">
        <v>218000</v>
      </c>
      <c r="S13">
        <v>303000</v>
      </c>
      <c r="T13">
        <v>606000</v>
      </c>
      <c r="U13">
        <v>3360</v>
      </c>
      <c r="V13">
        <v>2800</v>
      </c>
      <c r="W13">
        <v>3180</v>
      </c>
      <c r="X13">
        <v>13300</v>
      </c>
      <c r="Y13">
        <v>10700</v>
      </c>
      <c r="Z13">
        <v>8830</v>
      </c>
      <c r="AA13">
        <v>2720</v>
      </c>
      <c r="AB13">
        <v>585000</v>
      </c>
      <c r="AC13">
        <v>206000</v>
      </c>
      <c r="AD13">
        <v>157000</v>
      </c>
      <c r="AE13">
        <v>166000</v>
      </c>
      <c r="AF13">
        <v>630000</v>
      </c>
      <c r="AG13">
        <v>154000</v>
      </c>
      <c r="AH13">
        <v>126000</v>
      </c>
      <c r="AI13">
        <v>163000</v>
      </c>
      <c r="AJ13">
        <v>291000</v>
      </c>
      <c r="AK13" s="3">
        <v>2.47E-2</v>
      </c>
      <c r="AM13" s="2">
        <f>B13/$AK$13</f>
        <v>534412.95546558709</v>
      </c>
      <c r="AN13" s="2">
        <f t="shared" si="18"/>
        <v>940928.27004219417</v>
      </c>
      <c r="AO13" s="2">
        <f t="shared" si="19"/>
        <v>54008.438818565402</v>
      </c>
      <c r="AP13" s="2">
        <f t="shared" si="20"/>
        <v>47679.324894514772</v>
      </c>
      <c r="AQ13" s="2">
        <f t="shared" si="21"/>
        <v>2497890.2953586499</v>
      </c>
      <c r="AR13" s="2">
        <f t="shared" si="22"/>
        <v>43037.974683544307</v>
      </c>
      <c r="AS13" s="2">
        <f t="shared" si="23"/>
        <v>1206751.0548523208</v>
      </c>
      <c r="AT13" s="2">
        <f t="shared" si="24"/>
        <v>2535864.9789029537</v>
      </c>
      <c r="AU13" s="2">
        <f t="shared" si="25"/>
        <v>1481012.6582278481</v>
      </c>
      <c r="AV13" s="2">
        <f t="shared" si="26"/>
        <v>603375.52742616041</v>
      </c>
      <c r="AW13" s="2">
        <f t="shared" si="27"/>
        <v>46413.502109704641</v>
      </c>
      <c r="AX13" s="2">
        <f t="shared" si="28"/>
        <v>1008438.8185654009</v>
      </c>
      <c r="AY13" s="2">
        <f t="shared" si="29"/>
        <v>17552.742616033756</v>
      </c>
      <c r="AZ13" s="2">
        <f t="shared" si="30"/>
        <v>1016877.6371308017</v>
      </c>
      <c r="BA13" s="2">
        <f t="shared" si="31"/>
        <v>12405.06329113924</v>
      </c>
      <c r="BB13" s="2">
        <f t="shared" si="32"/>
        <v>1409282.700421941</v>
      </c>
      <c r="BC13" s="2">
        <f t="shared" si="33"/>
        <v>919831.22362869198</v>
      </c>
      <c r="BD13" s="2">
        <f t="shared" si="34"/>
        <v>1278481.0126582279</v>
      </c>
      <c r="BE13" s="2">
        <f t="shared" si="1"/>
        <v>2556962.0253164559</v>
      </c>
      <c r="BF13" s="2">
        <f t="shared" si="2"/>
        <v>14177.215189873419</v>
      </c>
      <c r="BG13" s="2">
        <f t="shared" si="3"/>
        <v>11814.345991561182</v>
      </c>
      <c r="BH13" s="2">
        <f t="shared" si="4"/>
        <v>13417.721518987342</v>
      </c>
      <c r="BI13" s="2">
        <f t="shared" si="5"/>
        <v>56118.143459915613</v>
      </c>
      <c r="BJ13" s="2">
        <f t="shared" si="6"/>
        <v>45147.679324894518</v>
      </c>
      <c r="BK13" s="2">
        <f t="shared" si="7"/>
        <v>37257.383966244728</v>
      </c>
      <c r="BL13" s="2">
        <f t="shared" si="8"/>
        <v>11476.793248945149</v>
      </c>
      <c r="BM13" s="2">
        <f t="shared" si="9"/>
        <v>2468354.4303797469</v>
      </c>
      <c r="BN13" s="2">
        <f t="shared" si="10"/>
        <v>869198.31223628693</v>
      </c>
      <c r="BO13" s="2">
        <f t="shared" si="11"/>
        <v>662447.25738396624</v>
      </c>
      <c r="BP13" s="2">
        <f t="shared" si="12"/>
        <v>700421.94092827011</v>
      </c>
      <c r="BQ13" s="2">
        <f t="shared" si="13"/>
        <v>2658227.8481012657</v>
      </c>
      <c r="BR13" s="2">
        <f t="shared" si="14"/>
        <v>649789.02953586506</v>
      </c>
      <c r="BS13" s="2">
        <f t="shared" si="15"/>
        <v>531645.56962025317</v>
      </c>
      <c r="BT13" s="2">
        <f t="shared" si="16"/>
        <v>687763.71308016882</v>
      </c>
      <c r="BU13" s="2">
        <f t="shared" si="17"/>
        <v>1227848.1012658228</v>
      </c>
    </row>
    <row r="14" spans="1:73" x14ac:dyDescent="0.2">
      <c r="A14" t="s">
        <v>49</v>
      </c>
      <c r="B14">
        <v>20600</v>
      </c>
      <c r="C14">
        <v>128000</v>
      </c>
      <c r="D14">
        <v>20100</v>
      </c>
      <c r="E14">
        <v>17700</v>
      </c>
      <c r="F14">
        <v>96000</v>
      </c>
      <c r="G14">
        <v>16200</v>
      </c>
      <c r="H14">
        <v>159000</v>
      </c>
      <c r="I14">
        <v>97000</v>
      </c>
      <c r="J14">
        <v>211000</v>
      </c>
      <c r="K14">
        <v>70800</v>
      </c>
      <c r="L14">
        <v>17100</v>
      </c>
      <c r="M14">
        <v>135000</v>
      </c>
      <c r="N14">
        <v>1640</v>
      </c>
      <c r="O14">
        <v>137000</v>
      </c>
      <c r="P14">
        <v>1180</v>
      </c>
      <c r="Q14">
        <v>211000</v>
      </c>
      <c r="R14">
        <v>108000</v>
      </c>
      <c r="S14">
        <v>183000</v>
      </c>
      <c r="T14">
        <v>98000</v>
      </c>
      <c r="U14">
        <v>1310</v>
      </c>
      <c r="V14">
        <v>1150</v>
      </c>
      <c r="W14">
        <v>1230</v>
      </c>
      <c r="X14">
        <v>21200</v>
      </c>
      <c r="Y14">
        <v>4810</v>
      </c>
      <c r="Z14">
        <v>3790</v>
      </c>
      <c r="AA14">
        <v>970</v>
      </c>
      <c r="AB14">
        <v>95000</v>
      </c>
      <c r="AC14">
        <v>102000</v>
      </c>
      <c r="AD14">
        <v>79700</v>
      </c>
      <c r="AE14">
        <v>84500</v>
      </c>
      <c r="AF14">
        <v>100000</v>
      </c>
      <c r="AG14">
        <v>75000</v>
      </c>
      <c r="AH14">
        <v>62200</v>
      </c>
      <c r="AI14">
        <v>81800</v>
      </c>
      <c r="AJ14">
        <v>179000</v>
      </c>
      <c r="AK14" s="3">
        <v>0.161</v>
      </c>
      <c r="AM14" s="2">
        <f>B14/$AK$14</f>
        <v>127950.3105590062</v>
      </c>
      <c r="AN14" s="2">
        <f t="shared" si="18"/>
        <v>540084.38818565407</v>
      </c>
      <c r="AO14" s="2">
        <f t="shared" si="19"/>
        <v>84810.126582278492</v>
      </c>
      <c r="AP14" s="2">
        <f t="shared" si="20"/>
        <v>74683.544303797476</v>
      </c>
      <c r="AQ14" s="2">
        <f t="shared" si="21"/>
        <v>405063.29113924055</v>
      </c>
      <c r="AR14" s="2">
        <f t="shared" si="22"/>
        <v>68354.430379746846</v>
      </c>
      <c r="AS14" s="2">
        <f t="shared" si="23"/>
        <v>670886.07594936714</v>
      </c>
      <c r="AT14" s="2">
        <f t="shared" si="24"/>
        <v>409282.70042194094</v>
      </c>
      <c r="AU14" s="2">
        <f t="shared" si="25"/>
        <v>890295.35864978912</v>
      </c>
      <c r="AV14" s="2">
        <f t="shared" si="26"/>
        <v>298734.17721518991</v>
      </c>
      <c r="AW14" s="2">
        <f t="shared" si="27"/>
        <v>72151.898734177215</v>
      </c>
      <c r="AX14" s="2">
        <f t="shared" si="28"/>
        <v>569620.25316455704</v>
      </c>
      <c r="AY14" s="2">
        <f t="shared" si="29"/>
        <v>6919.831223628692</v>
      </c>
      <c r="AZ14" s="2">
        <f t="shared" si="30"/>
        <v>578059.07172995782</v>
      </c>
      <c r="BA14" s="2">
        <f t="shared" si="31"/>
        <v>4978.9029535864984</v>
      </c>
      <c r="BB14" s="2">
        <f t="shared" si="32"/>
        <v>890295.35864978912</v>
      </c>
      <c r="BC14" s="2">
        <f t="shared" si="33"/>
        <v>455696.2025316456</v>
      </c>
      <c r="BD14" s="2">
        <f t="shared" si="34"/>
        <v>772151.89873417723</v>
      </c>
      <c r="BE14" s="2">
        <f t="shared" si="1"/>
        <v>413502.10970464139</v>
      </c>
      <c r="BF14" s="2">
        <f t="shared" si="2"/>
        <v>5527.4261603375526</v>
      </c>
      <c r="BG14" s="2">
        <f t="shared" si="3"/>
        <v>4852.3206751054859</v>
      </c>
      <c r="BH14" s="2">
        <f t="shared" si="4"/>
        <v>5189.8734177215192</v>
      </c>
      <c r="BI14" s="2">
        <f t="shared" si="5"/>
        <v>89451.476793248949</v>
      </c>
      <c r="BJ14" s="2">
        <f t="shared" si="6"/>
        <v>20295.358649789032</v>
      </c>
      <c r="BK14" s="2">
        <f t="shared" si="7"/>
        <v>15991.561181434599</v>
      </c>
      <c r="BL14" s="2">
        <f t="shared" si="8"/>
        <v>4092.8270042194094</v>
      </c>
      <c r="BM14" s="2">
        <f t="shared" si="9"/>
        <v>400843.8818565401</v>
      </c>
      <c r="BN14" s="2">
        <f t="shared" si="10"/>
        <v>430379.74683544307</v>
      </c>
      <c r="BO14" s="2">
        <f t="shared" si="11"/>
        <v>336286.91983122367</v>
      </c>
      <c r="BP14" s="2">
        <f t="shared" si="12"/>
        <v>356540.0843881857</v>
      </c>
      <c r="BQ14" s="2">
        <f t="shared" si="13"/>
        <v>421940.92827004223</v>
      </c>
      <c r="BR14" s="2">
        <f t="shared" si="14"/>
        <v>316455.69620253169</v>
      </c>
      <c r="BS14" s="2">
        <f t="shared" si="15"/>
        <v>262447.25738396624</v>
      </c>
      <c r="BT14" s="2">
        <f t="shared" si="16"/>
        <v>345147.6793248945</v>
      </c>
      <c r="BU14" s="2">
        <f t="shared" si="17"/>
        <v>755274.26160337555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Tesser</dc:creator>
  <cp:lastModifiedBy>Lucas Tesser</cp:lastModifiedBy>
  <dcterms:created xsi:type="dcterms:W3CDTF">2026-01-29T10:14:55Z</dcterms:created>
  <dcterms:modified xsi:type="dcterms:W3CDTF">2026-06-13T15:54:57Z</dcterms:modified>
</cp:coreProperties>
</file>